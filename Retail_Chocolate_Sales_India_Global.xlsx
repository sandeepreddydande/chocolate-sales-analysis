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24226"/>
  <mc:AlternateContent xmlns:mc="http://schemas.openxmlformats.org/markup-compatibility/2006">
    <mc:Choice Requires="x15">
      <x15ac:absPath xmlns:x15ac="http://schemas.microsoft.com/office/spreadsheetml/2010/11/ac" url="C:\Users\Amulya\Desktop\excel\"/>
    </mc:Choice>
  </mc:AlternateContent>
  <xr:revisionPtr revIDLastSave="0" documentId="13_ncr:1_{1037E6DB-1863-4CE1-AAA7-634D8B62E019}" xr6:coauthVersionLast="47" xr6:coauthVersionMax="47" xr10:uidLastSave="{00000000-0000-0000-0000-000000000000}"/>
  <bookViews>
    <workbookView xWindow="-110" yWindow="-110" windowWidth="19420" windowHeight="10300" activeTab="1" xr2:uid="{00000000-000D-0000-FFFF-FFFF00000000}"/>
  </bookViews>
  <sheets>
    <sheet name="Raw Data" sheetId="1" r:id="rId1"/>
    <sheet name="Dashborad" sheetId="2" r:id="rId2"/>
    <sheet name="Pivot 1&amp;2" sheetId="3" r:id="rId3"/>
    <sheet name="Pivot 3&amp;4" sheetId="4" r:id="rId4"/>
  </sheets>
  <definedNames>
    <definedName name="_xlcn.WorksheetConnection_Retail_Chocolate_Sales_India_Global.xlsxTable11" hidden="1">Table1[]</definedName>
    <definedName name="Slicer_Country">#N/A</definedName>
    <definedName name="Slicer_Product_Category">#N/A</definedName>
    <definedName name="Slicer_Salesperson">#N/A</definedName>
    <definedName name="Slicer_Years__Order_Date">#N/A</definedName>
  </definedNames>
  <calcPr calcId="191029"/>
  <pivotCaches>
    <pivotCache cacheId="0" r:id="rId5"/>
    <pivotCache cacheId="1" r:id="rId6"/>
    <pivotCache cacheId="2" r:id="rId7"/>
  </pivotCaches>
  <extLst>
    <ext xmlns:x14="http://schemas.microsoft.com/office/spreadsheetml/2009/9/main" uri="{876F7934-8845-4945-9796-88D515C7AA90}">
      <x14:pivotCaches>
        <pivotCache cacheId="3" r:id="rId8"/>
      </x14:pivotCaches>
    </ex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Retail_Chocolate_Sales_India_Global.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203" i="1" l="1"/>
  <c r="A1203" i="1"/>
  <c r="C1203" i="1"/>
  <c r="K1203"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74B7765-68A7-4149-A3AF-1E021595C56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BA6E979-1A62-46BA-B756-582C4B27CB5D}" name="WorksheetConnection_Retail_Chocolate_Sales_India_Global.xlsx!Table1" type="102" refreshedVersion="8" minRefreshableVersion="5">
    <extLst>
      <ext xmlns:x15="http://schemas.microsoft.com/office/spreadsheetml/2010/11/main" uri="{DE250136-89BD-433C-8126-D09CA5730AF9}">
        <x15:connection id="Table1" autoDelete="1">
          <x15:rangePr sourceName="_xlcn.WorksheetConnection_Retail_Chocolate_Sales_India_Global.xlsxTable11"/>
        </x15:connection>
      </ext>
    </extLst>
  </connection>
</connections>
</file>

<file path=xl/sharedStrings.xml><?xml version="1.0" encoding="utf-8"?>
<sst xmlns="http://schemas.openxmlformats.org/spreadsheetml/2006/main" count="9658" uniqueCount="1935">
  <si>
    <t>Order ID</t>
  </si>
  <si>
    <t>Order Date</t>
  </si>
  <si>
    <t>Country</t>
  </si>
  <si>
    <t>City</t>
  </si>
  <si>
    <t>Customer Name</t>
  </si>
  <si>
    <t>Salesperson</t>
  </si>
  <si>
    <t>Product Category</t>
  </si>
  <si>
    <t>Product Name</t>
  </si>
  <si>
    <t>Quantity Sold</t>
  </si>
  <si>
    <t>Unit Price (INR)</t>
  </si>
  <si>
    <t>Payment Mode</t>
  </si>
  <si>
    <t>ORD1000</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</si>
  <si>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</si>
  <si>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</si>
  <si>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</si>
  <si>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</si>
  <si>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</si>
  <si>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</si>
  <si>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</si>
  <si>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</si>
  <si>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</si>
  <si>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</si>
  <si>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</si>
  <si>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</si>
  <si>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</si>
  <si>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</si>
  <si>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</si>
  <si>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</si>
  <si>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</si>
  <si>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</si>
  <si>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</si>
  <si>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</si>
  <si>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</si>
  <si>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</si>
  <si>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</si>
  <si>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</si>
  <si>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</si>
  <si>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</si>
  <si>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</si>
  <si>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</si>
  <si>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</si>
  <si>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</si>
  <si>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</si>
  <si>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</si>
  <si>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</si>
  <si>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</si>
  <si>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</si>
  <si>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</si>
  <si>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</si>
  <si>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</si>
  <si>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</si>
  <si>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</si>
  <si>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</si>
  <si>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</si>
  <si>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</si>
  <si>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</si>
  <si>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</si>
  <si>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</si>
  <si>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</si>
  <si>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</si>
  <si>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</si>
  <si>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</si>
  <si>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</si>
  <si>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</si>
  <si>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</si>
  <si>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</si>
  <si>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</si>
  <si>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</si>
  <si>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</si>
  <si>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</si>
  <si>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</si>
  <si>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</si>
  <si>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</si>
  <si>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</si>
  <si>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</si>
  <si>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</si>
  <si>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</si>
  <si>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</si>
  <si>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</si>
  <si>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</si>
  <si>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</si>
  <si>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</si>
  <si>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</si>
  <si>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</si>
  <si>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</si>
  <si>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</si>
  <si>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</si>
  <si>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</si>
  <si>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</si>
  <si>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</si>
  <si>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</si>
  <si>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</si>
  <si>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</si>
  <si>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</si>
  <si>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</si>
  <si>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</si>
  <si>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</si>
  <si>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</si>
  <si>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</si>
  <si>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</si>
  <si>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</si>
  <si>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</si>
  <si>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</si>
  <si>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</si>
  <si>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</si>
  <si>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</si>
  <si>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</si>
  <si>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</si>
  <si>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</si>
  <si>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</si>
  <si>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</si>
  <si>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</si>
  <si>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</si>
  <si>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</si>
  <si>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</si>
  <si>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</si>
  <si>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</si>
  <si>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</si>
  <si>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</si>
  <si>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</si>
  <si>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</si>
  <si>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</si>
  <si>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</si>
  <si>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</si>
  <si>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</si>
  <si>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</si>
  <si>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</si>
  <si>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</si>
  <si>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</si>
  <si>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</si>
  <si>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</si>
  <si>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</si>
  <si>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</si>
  <si>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</si>
  <si>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</si>
  <si>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</si>
  <si>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</si>
  <si>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</si>
  <si>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</si>
  <si>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</si>
  <si>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</si>
  <si>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</si>
  <si>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</si>
  <si>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</si>
  <si>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</si>
  <si>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</si>
  <si>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</si>
  <si>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</si>
  <si>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</si>
  <si>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</si>
  <si>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</si>
  <si>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</si>
  <si>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</si>
  <si>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</si>
  <si>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</si>
  <si>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</si>
  <si>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</si>
  <si>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</si>
  <si>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</si>
  <si>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</si>
  <si>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</si>
  <si>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</si>
  <si>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</si>
  <si>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</si>
  <si>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</si>
  <si>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</si>
  <si>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</si>
  <si>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</si>
  <si>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</si>
  <si>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</si>
  <si>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</si>
  <si>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</si>
  <si>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</si>
  <si>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</si>
  <si>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</si>
  <si>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</si>
  <si>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</si>
  <si>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</si>
  <si>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</si>
  <si>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</si>
  <si>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</si>
  <si>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</si>
  <si>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</si>
  <si>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</si>
  <si>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</si>
  <si>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</si>
  <si>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</si>
  <si>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</si>
  <si>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</si>
  <si>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</si>
  <si>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</si>
  <si>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</si>
  <si>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</si>
  <si>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</si>
  <si>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</si>
  <si>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</si>
  <si>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</si>
  <si>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</si>
  <si>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</si>
  <si>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</si>
  <si>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</si>
  <si>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</si>
  <si>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</si>
  <si>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</si>
  <si>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</si>
  <si>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</si>
  <si>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</si>
  <si>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</si>
  <si>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</si>
  <si>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</si>
  <si>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</si>
  <si>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</si>
  <si>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</si>
  <si>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</si>
  <si>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</si>
  <si>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</si>
  <si>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</si>
  <si>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</si>
  <si>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</si>
  <si>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</si>
  <si>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</si>
  <si>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</si>
  <si>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</si>
  <si>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</si>
  <si>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</si>
  <si>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</si>
  <si>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</si>
  <si>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</si>
  <si>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</si>
  <si>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</si>
  <si>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</si>
  <si>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</si>
  <si>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</si>
  <si>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</si>
  <si>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</si>
  <si>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</si>
  <si>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</si>
  <si>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</si>
  <si>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</si>
  <si>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</si>
  <si>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</si>
  <si>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</si>
  <si>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</si>
  <si>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</si>
  <si>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</si>
  <si>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</si>
  <si>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</si>
  <si>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</si>
  <si>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</si>
  <si>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</si>
  <si>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</si>
  <si>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</si>
  <si>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</si>
  <si>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</si>
  <si>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</si>
  <si>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</si>
  <si>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</si>
  <si>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</si>
  <si>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</si>
  <si>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</si>
  <si>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</si>
  <si>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</si>
  <si>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</si>
  <si>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</si>
  <si>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</si>
  <si>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</si>
  <si>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</si>
  <si>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</si>
  <si>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</si>
  <si>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</si>
  <si>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</si>
  <si>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</si>
  <si>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</si>
  <si>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</si>
  <si>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</si>
  <si>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</si>
  <si>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</si>
  <si>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</si>
  <si>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</si>
  <si>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</si>
  <si>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</si>
  <si>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</si>
  <si>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</si>
  <si>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</si>
  <si>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</si>
  <si>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</si>
  <si>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</si>
  <si>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</si>
  <si>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</si>
  <si>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</si>
  <si>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</si>
  <si>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</si>
  <si>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</si>
  <si>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</si>
  <si>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</si>
  <si>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</si>
  <si>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</si>
  <si>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</si>
  <si>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</si>
  <si>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</si>
  <si>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</si>
  <si>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</si>
  <si>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</si>
  <si>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</si>
  <si>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</si>
  <si>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</si>
  <si>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</si>
  <si>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</si>
  <si>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</si>
  <si>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</si>
  <si>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</si>
  <si>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</si>
  <si>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</si>
  <si>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</si>
  <si>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</si>
  <si>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</si>
  <si>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</si>
  <si>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</si>
  <si>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</si>
  <si>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</si>
  <si>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</si>
  <si>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</si>
  <si>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</si>
  <si>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</si>
  <si>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</si>
  <si>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</si>
  <si>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</si>
  <si>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</si>
  <si>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</si>
  <si>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</si>
  <si>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</si>
  <si>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</si>
  <si>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</si>
  <si>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</si>
  <si>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</si>
  <si>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</si>
  <si>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</si>
  <si>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</si>
  <si>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</si>
  <si>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</si>
  <si>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</si>
  <si>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</si>
  <si>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</si>
  <si>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</si>
  <si>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</si>
  <si>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</si>
  <si>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</si>
  <si>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</si>
  <si>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</si>
  <si>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</si>
  <si>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</si>
  <si>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</si>
  <si>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</si>
  <si>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</si>
  <si>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</si>
  <si>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</si>
  <si>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</si>
  <si>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</si>
  <si>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</si>
  <si>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</si>
  <si>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</si>
  <si>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</si>
  <si>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</si>
  <si>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</si>
  <si>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</si>
  <si>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</si>
  <si>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</si>
  <si>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</si>
  <si>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</si>
  <si>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</si>
  <si>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</si>
  <si>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</si>
  <si>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</si>
  <si>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</si>
  <si>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</si>
  <si>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</si>
  <si>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</si>
  <si>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</si>
  <si>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</si>
  <si>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</si>
  <si>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</si>
  <si>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</si>
  <si>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</si>
  <si>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</si>
  <si>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</si>
  <si>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</si>
  <si>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</si>
  <si>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</si>
  <si>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</si>
  <si>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</si>
  <si>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</si>
  <si>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</si>
  <si>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</si>
  <si>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</si>
  <si>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</si>
  <si>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</si>
  <si>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</si>
  <si>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</si>
  <si>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</si>
  <si>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</si>
  <si>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</si>
  <si>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</si>
  <si>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</si>
  <si>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</si>
  <si>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</si>
  <si>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</si>
  <si>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</si>
  <si>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</si>
  <si>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</si>
  <si>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</si>
  <si>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</si>
  <si>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</si>
  <si>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</si>
  <si>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</si>
  <si>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</si>
  <si>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</si>
  <si>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</si>
  <si>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</si>
  <si>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</si>
  <si>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</si>
  <si>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</si>
  <si>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</si>
  <si>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</si>
  <si>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</si>
  <si>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</si>
  <si>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</si>
  <si>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</si>
  <si>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</si>
  <si>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</si>
  <si>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</si>
  <si>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</si>
  <si>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</si>
  <si>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</si>
  <si>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</si>
  <si>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</si>
  <si>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</si>
  <si>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</si>
  <si>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</si>
  <si>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</si>
  <si>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</si>
  <si>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</si>
  <si>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</si>
  <si>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</si>
  <si>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</si>
  <si>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</si>
  <si>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</si>
  <si>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</si>
  <si>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</si>
  <si>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</si>
  <si>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</si>
  <si>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</si>
  <si>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</si>
  <si>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</si>
  <si>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</si>
  <si>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</si>
  <si>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</si>
  <si>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</si>
  <si>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</si>
  <si>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</si>
  <si>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</si>
  <si>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</si>
  <si>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</si>
  <si>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</si>
  <si>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</si>
  <si>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</si>
  <si>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</si>
  <si>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</si>
  <si>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</si>
  <si>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</si>
  <si>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</si>
  <si>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</si>
  <si>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</si>
  <si>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</si>
  <si>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</si>
  <si>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</si>
  <si>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</si>
  <si>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</si>
  <si>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</si>
  <si>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</si>
  <si>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</si>
  <si>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</si>
  <si>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</si>
  <si>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</si>
  <si>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</si>
  <si>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</si>
  <si>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</si>
  <si>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</si>
  <si>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</si>
  <si>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</si>
  <si>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</si>
  <si>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</si>
  <si>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</si>
  <si>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</si>
  <si>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</si>
  <si>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</si>
  <si>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</si>
  <si>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</si>
  <si>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</si>
  <si>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</si>
  <si>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</si>
  <si>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</si>
  <si>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</si>
  <si>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</si>
  <si>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</si>
  <si>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</si>
  <si>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</si>
  <si>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</si>
  <si>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</si>
  <si>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</si>
  <si>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</si>
  <si>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</si>
  <si>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</si>
  <si>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</si>
  <si>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</si>
  <si>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</si>
  <si>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</si>
  <si>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</si>
  <si>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</si>
  <si>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</si>
  <si>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</si>
  <si>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</si>
  <si>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</si>
  <si>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</si>
  <si>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</si>
  <si>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</si>
  <si>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</si>
  <si>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</si>
  <si>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</si>
  <si>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</si>
  <si>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</si>
  <si>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</si>
  <si>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</si>
  <si>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</si>
  <si>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</si>
  <si>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</si>
  <si>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</si>
  <si>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</si>
  <si>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</si>
  <si>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</si>
  <si>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</si>
  <si>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</si>
  <si>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</si>
  <si>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</si>
  <si>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</si>
  <si>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</si>
  <si>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</si>
  <si>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</si>
  <si>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</si>
  <si>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</si>
  <si>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</si>
  <si>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</si>
  <si>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</si>
  <si>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</si>
  <si>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</si>
  <si>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</si>
  <si>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</si>
  <si>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</si>
  <si>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</si>
  <si>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</si>
  <si>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</si>
  <si>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</si>
  <si>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</si>
  <si>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</si>
  <si>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</si>
  <si>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</si>
  <si>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</si>
  <si>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</si>
  <si>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</si>
  <si>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</si>
  <si>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</si>
  <si>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</si>
  <si>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</si>
  <si>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</si>
  <si>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</si>
  <si>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</si>
  <si>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</si>
  <si>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</si>
  <si>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</si>
  <si>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</si>
  <si>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</si>
  <si>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</si>
  <si>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</si>
  <si>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</si>
  <si>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</si>
  <si>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</si>
  <si>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</si>
  <si>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</si>
  <si>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</si>
  <si>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</si>
  <si>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</si>
  <si>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</si>
  <si>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</si>
  <si>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</si>
  <si>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</si>
  <si>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</si>
  <si>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</si>
  <si>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</si>
  <si>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</si>
  <si>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</si>
  <si>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</si>
  <si>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</si>
  <si>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</si>
  <si>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</si>
  <si>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</si>
  <si>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</si>
  <si>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</si>
  <si>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</si>
  <si>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</si>
  <si>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</si>
  <si>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</si>
  <si>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</si>
  <si>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</si>
  <si>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</si>
  <si>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</si>
  <si>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</si>
  <si>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</si>
  <si>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</si>
  <si>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</si>
  <si>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</si>
  <si>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</si>
  <si>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</si>
  <si>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</si>
  <si>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</si>
  <si>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</si>
  <si>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</si>
  <si>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</si>
  <si>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</si>
  <si>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</si>
  <si>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</si>
  <si>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</si>
  <si>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</si>
  <si>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</si>
  <si>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</si>
  <si>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</si>
  <si>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</si>
  <si>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</si>
  <si>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</si>
  <si>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</si>
  <si>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</si>
  <si>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</si>
  <si>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</si>
  <si>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</si>
  <si>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</si>
  <si>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</si>
  <si>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</si>
  <si>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</si>
  <si>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</si>
  <si>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</si>
  <si>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</si>
  <si>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</si>
  <si>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</si>
  <si>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</si>
  <si>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</si>
  <si>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</si>
  <si>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</si>
  <si>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</si>
  <si>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</si>
  <si>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</si>
  <si>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</si>
  <si>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</si>
  <si>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</si>
  <si>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</si>
  <si>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</si>
  <si>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</si>
  <si>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</si>
  <si>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</si>
  <si>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</si>
  <si>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</si>
  <si>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</si>
  <si>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</si>
  <si>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</si>
  <si>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</si>
  <si>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</si>
  <si>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</si>
  <si>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</si>
  <si>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</si>
  <si>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</si>
  <si>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</si>
  <si>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</si>
  <si>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</si>
  <si>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</si>
  <si>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</si>
  <si>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</si>
  <si>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</si>
  <si>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</si>
  <si>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</si>
  <si>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</si>
  <si>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</si>
  <si>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</si>
  <si>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</si>
  <si>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</si>
  <si>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</si>
  <si>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</si>
  <si>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</si>
  <si>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</si>
  <si>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</si>
  <si>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</si>
  <si>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</si>
  <si>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</si>
  <si>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</si>
  <si>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</si>
  <si>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</si>
  <si>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</si>
  <si>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</si>
  <si>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</si>
  <si>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</si>
  <si>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</si>
  <si>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</si>
  <si>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</si>
  <si>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</si>
  <si>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</si>
  <si>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</si>
  <si>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</si>
  <si>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</si>
  <si>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</si>
  <si>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</si>
  <si>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</si>
  <si>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</si>
  <si>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</si>
  <si>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</si>
  <si>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</si>
  <si>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</si>
  <si>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</si>
  <si>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</si>
  <si>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</si>
  <si>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</si>
  <si>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</si>
  <si>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</si>
  <si>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</si>
  <si>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</si>
  <si>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</si>
  <si>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</si>
  <si>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</si>
  <si>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</si>
  <si>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</si>
  <si>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</si>
  <si>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</si>
  <si>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</si>
  <si>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</si>
  <si>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</si>
  <si>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</si>
  <si>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</si>
  <si>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</si>
  <si>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</si>
  <si>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</si>
  <si>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</si>
  <si>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</si>
  <si>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</si>
  <si>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</si>
  <si>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</si>
  <si>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</si>
  <si>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</si>
  <si>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</si>
  <si>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</si>
  <si>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</si>
  <si>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</si>
  <si>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</si>
  <si>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</si>
  <si>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</si>
  <si>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</si>
  <si>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</si>
  <si>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</si>
  <si>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</si>
  <si>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</si>
  <si>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</si>
  <si>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</si>
  <si>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</si>
  <si>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</si>
  <si>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</si>
  <si>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</si>
  <si>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</si>
  <si>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</si>
  <si>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</si>
  <si>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</si>
  <si>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</si>
  <si>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</si>
  <si>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</si>
  <si>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</si>
  <si>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</si>
  <si>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</si>
  <si>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</si>
  <si>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</si>
  <si>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</si>
  <si>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</si>
  <si>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</si>
  <si>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</si>
  <si>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</si>
  <si>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</si>
  <si>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</si>
  <si>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</si>
  <si>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</si>
  <si>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</si>
  <si>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</si>
  <si>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</si>
  <si>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</si>
  <si>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</si>
  <si>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</si>
  <si>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</si>
  <si>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</si>
  <si>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</si>
  <si>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</si>
  <si>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</si>
  <si>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</si>
  <si>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</si>
  <si>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</si>
  <si>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</si>
  <si>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</si>
  <si>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</si>
  <si>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</si>
  <si>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</si>
  <si>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</si>
  <si>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</si>
  <si>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</si>
  <si>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</si>
  <si>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</si>
  <si>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</si>
  <si>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</si>
  <si>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</si>
  <si>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</si>
  <si>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</si>
  <si>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</si>
  <si>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</si>
  <si>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</si>
  <si>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</si>
  <si>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</si>
  <si>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</si>
  <si>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</si>
  <si>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</si>
  <si>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</si>
  <si>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</si>
  <si>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</si>
  <si>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</si>
  <si>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</si>
  <si>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</si>
  <si>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</si>
  <si>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</si>
  <si>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</si>
  <si>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</si>
  <si>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</si>
  <si>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</si>
  <si>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</si>
  <si>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</si>
  <si>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</si>
  <si>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</si>
  <si>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</si>
  <si>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</si>
  <si>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</si>
  <si>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</si>
  <si>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</si>
  <si>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</si>
  <si>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</si>
  <si>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</si>
  <si>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</si>
  <si>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</si>
  <si>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</si>
  <si>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</si>
  <si>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</si>
  <si>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</si>
  <si>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</si>
  <si>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</si>
  <si>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</si>
  <si>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</si>
  <si>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</si>
  <si>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</si>
  <si>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</si>
  <si>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</si>
  <si>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</si>
  <si>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</si>
  <si>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</si>
  <si>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</si>
  <si>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</si>
  <si>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</si>
  <si>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</si>
  <si>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</si>
  <si>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</si>
  <si>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</si>
  <si>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</si>
  <si>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</si>
  <si>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</si>
  <si>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</si>
  <si>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</si>
  <si>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</si>
  <si>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</si>
  <si>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</si>
  <si>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</si>
  <si>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</si>
  <si>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</si>
  <si>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</si>
  <si>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</si>
  <si>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</si>
  <si>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</si>
  <si>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</si>
  <si>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</si>
  <si>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</si>
  <si>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</si>
  <si>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</si>
  <si>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</si>
  <si>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</si>
  <si>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</si>
  <si>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</si>
  <si>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</si>
  <si>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</si>
  <si>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</si>
  <si>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</si>
  <si>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</si>
  <si>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</si>
  <si>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</si>
  <si>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</si>
  <si>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</si>
  <si>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</si>
  <si>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</si>
  <si>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</si>
  <si>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</si>
  <si>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</si>
  <si>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</si>
  <si>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</si>
  <si>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</si>
  <si>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</si>
  <si>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</si>
  <si>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</si>
  <si>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</si>
  <si>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</si>
  <si>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</si>
  <si>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</si>
  <si>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</si>
  <si>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</si>
  <si>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</si>
  <si>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</si>
  <si>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</si>
  <si>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</si>
  <si>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</si>
  <si>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</si>
  <si>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</si>
  <si>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</si>
  <si>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</si>
  <si>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</si>
  <si>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</si>
  <si>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</si>
  <si>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</si>
  <si>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</si>
  <si>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</si>
  <si>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</si>
  <si>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</si>
  <si>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</si>
  <si>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</si>
  <si>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</si>
  <si>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</si>
  <si>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</si>
  <si>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</si>
  <si>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</si>
  <si>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</si>
  <si>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</si>
  <si>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</si>
  <si>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</si>
  <si>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</si>
  <si>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</si>
  <si>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</si>
  <si>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</si>
  <si>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</si>
  <si>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</si>
  <si>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</si>
  <si>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</si>
  <si>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</si>
  <si>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</si>
  <si>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</si>
  <si>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</si>
  <si>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</si>
  <si>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</si>
  <si>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</si>
  <si>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</si>
  <si>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</si>
  <si>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</si>
  <si>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</si>
  <si>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</si>
  <si>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</si>
  <si>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</si>
  <si>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</si>
  <si>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</si>
  <si>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</si>
  <si>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</si>
  <si>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</si>
  <si>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</si>
  <si>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</si>
  <si>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</si>
  <si>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</si>
  <si>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</si>
  <si>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</si>
  <si>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</si>
  <si>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</si>
  <si>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</si>
  <si>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</si>
  <si>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</si>
  <si>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</si>
  <si>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</si>
  <si>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</si>
  <si>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</si>
  <si>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</si>
  <si>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</si>
  <si>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</si>
  <si>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</si>
  <si>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</si>
  <si>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</si>
  <si>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</si>
  <si>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</si>
  <si>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</si>
  <si>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</si>
  <si>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</si>
  <si>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</si>
  <si>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</si>
  <si>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</si>
  <si>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</si>
  <si>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</si>
  <si>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</si>
  <si>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</si>
  <si>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</si>
  <si>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</si>
  <si>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</si>
  <si>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</si>
  <si>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</si>
  <si>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</si>
  <si>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</si>
  <si>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</si>
  <si>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</si>
  <si>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</si>
  <si>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</si>
  <si>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</si>
  <si>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</si>
  <si>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</si>
  <si>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</si>
  <si>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</si>
  <si>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</si>
  <si>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</si>
  <si>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</si>
  <si>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</si>
  <si>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</si>
  <si>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</si>
  <si>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</si>
  <si>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</si>
  <si>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</si>
  <si>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</si>
  <si>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</si>
  <si>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</si>
  <si>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</si>
  <si>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</si>
  <si>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</si>
  <si>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</si>
  <si>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</si>
  <si>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</si>
  <si>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</si>
  <si>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</si>
  <si>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</si>
  <si>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</si>
  <si>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</si>
  <si>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</si>
  <si>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</si>
  <si>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</si>
  <si>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</si>
  <si>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</si>
  <si>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</si>
  <si>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</si>
  <si>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</si>
  <si>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</si>
  <si>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</si>
  <si>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</si>
  <si>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</si>
  <si>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</si>
  <si>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</si>
  <si>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</si>
  <si>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</si>
  <si>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</si>
  <si>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</si>
  <si>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</si>
  <si>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</si>
  <si>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</si>
  <si>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</si>
  <si>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</si>
  <si>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</si>
  <si>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</si>
  <si>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</si>
  <si>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</si>
  <si>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</si>
  <si>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</si>
  <si>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</si>
  <si>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</si>
  <si>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</si>
  <si>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</si>
  <si>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</si>
  <si>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</si>
  <si>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</si>
  <si>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</si>
  <si>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</si>
  <si>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</si>
  <si>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</si>
  <si>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</si>
  <si>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</si>
  <si>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</si>
  <si>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</si>
  <si>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</si>
  <si>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</si>
  <si>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</si>
  <si>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</si>
  <si>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</si>
  <si>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</si>
  <si>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</si>
  <si>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</si>
  <si>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</si>
  <si>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</si>
  <si>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</si>
  <si>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</si>
  <si>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</si>
  <si>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</si>
  <si>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</si>
  <si>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</si>
  <si>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</si>
  <si>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</si>
  <si>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</si>
  <si>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</si>
  <si>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</si>
  <si>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</si>
  <si>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</si>
  <si>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</si>
  <si>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</si>
  <si>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</si>
  <si>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</si>
  <si>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</si>
  <si>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</si>
  <si>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</si>
  <si>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</si>
  <si>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</si>
  <si>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</si>
  <si>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</si>
  <si>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</si>
  <si>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</si>
  <si>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</si>
  <si>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</si>
  <si>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</si>
  <si>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</si>
  <si>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</si>
  <si>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</si>
  <si>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</si>
  <si>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</si>
  <si>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</si>
  <si>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</si>
  <si>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</si>
  <si>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</si>
  <si>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</si>
  <si>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</si>
  <si>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</si>
  <si>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</si>
  <si>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</si>
  <si>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</si>
  <si>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</si>
  <si>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</si>
  <si>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</si>
  <si>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</si>
  <si>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</si>
  <si>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</si>
  <si>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</si>
  <si>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</si>
  <si>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</si>
  <si>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</si>
  <si>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</si>
  <si>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</si>
  <si>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</si>
  <si>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</si>
  <si>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</si>
  <si>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</si>
  <si>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</si>
  <si>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</si>
  <si>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</si>
  <si>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</si>
  <si>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</si>
  <si>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</si>
  <si>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</si>
  <si>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</si>
  <si>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</si>
  <si>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</si>
  <si>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</si>
  <si>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</si>
  <si>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</si>
  <si>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</si>
  <si>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</si>
  <si>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</si>
  <si>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</si>
  <si>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</si>
  <si>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</si>
  <si>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</si>
  <si>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</si>
  <si>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</si>
  <si>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</si>
  <si>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</si>
  <si>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</si>
  <si>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</si>
  <si>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</si>
  <si>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</si>
  <si>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</si>
  <si>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</si>
  <si>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</si>
  <si>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</si>
  <si>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</si>
  <si>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</si>
  <si>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</si>
  <si>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</si>
  <si>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</si>
  <si>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</si>
  <si>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</si>
  <si>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</si>
  <si>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</si>
  <si>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</si>
  <si>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</si>
  <si>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</si>
  <si>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UAE</t>
  </si>
  <si>
    <t>Germany</t>
  </si>
  <si>
    <t>Australia</t>
  </si>
  <si>
    <t>UK</t>
  </si>
  <si>
    <t>USA</t>
  </si>
  <si>
    <t>Canada</t>
  </si>
  <si>
    <t>India</t>
  </si>
  <si>
    <t>Abu Dhabi</t>
  </si>
  <si>
    <t>Frankfurt</t>
  </si>
  <si>
    <t>Sydney</t>
  </si>
  <si>
    <t>Dubai</t>
  </si>
  <si>
    <t>Manchester</t>
  </si>
  <si>
    <t>Melbourne</t>
  </si>
  <si>
    <t>Sharjah</t>
  </si>
  <si>
    <t>Houston</t>
  </si>
  <si>
    <t>London</t>
  </si>
  <si>
    <t>Liverpool</t>
  </si>
  <si>
    <t>Birmingham</t>
  </si>
  <si>
    <t>Munich</t>
  </si>
  <si>
    <t>Calgary</t>
  </si>
  <si>
    <t>San Francisco</t>
  </si>
  <si>
    <t>Montreal</t>
  </si>
  <si>
    <t>Berlin</t>
  </si>
  <si>
    <t>Brisbane</t>
  </si>
  <si>
    <t>Bangalore</t>
  </si>
  <si>
    <t>Los Angeles</t>
  </si>
  <si>
    <t>Delhi</t>
  </si>
  <si>
    <t>Hyderabad</t>
  </si>
  <si>
    <t>Toronto</t>
  </si>
  <si>
    <t>Hamburg</t>
  </si>
  <si>
    <t>Vancouver</t>
  </si>
  <si>
    <t>Chicago</t>
  </si>
  <si>
    <t>New York</t>
  </si>
  <si>
    <t>Perth</t>
  </si>
  <si>
    <t>Chennai</t>
  </si>
  <si>
    <t>Mumbai</t>
  </si>
  <si>
    <t>Customer_361</t>
  </si>
  <si>
    <t>Customer_598</t>
  </si>
  <si>
    <t>Customer_313</t>
  </si>
  <si>
    <t>Customer_552</t>
  </si>
  <si>
    <t>Customer_891</t>
  </si>
  <si>
    <t>Customer_262</t>
  </si>
  <si>
    <t>Customer_202</t>
  </si>
  <si>
    <t>Customer_710</t>
  </si>
  <si>
    <t>Customer_805</t>
  </si>
  <si>
    <t>Customer_382</t>
  </si>
  <si>
    <t>Customer_903</t>
  </si>
  <si>
    <t>Customer_301</t>
  </si>
  <si>
    <t>Customer_691</t>
  </si>
  <si>
    <t>Customer_214</t>
  </si>
  <si>
    <t>Customer_299</t>
  </si>
  <si>
    <t>Customer_675</t>
  </si>
  <si>
    <t>Customer_200</t>
  </si>
  <si>
    <t>Customer_695</t>
  </si>
  <si>
    <t>Customer_292</t>
  </si>
  <si>
    <t>Customer_656</t>
  </si>
  <si>
    <t>Customer_800</t>
  </si>
  <si>
    <t>Customer_953</t>
  </si>
  <si>
    <t>Customer_947</t>
  </si>
  <si>
    <t>Customer_841</t>
  </si>
  <si>
    <t>Customer_533</t>
  </si>
  <si>
    <t>Customer_843</t>
  </si>
  <si>
    <t>Customer_346</t>
  </si>
  <si>
    <t>Customer_920</t>
  </si>
  <si>
    <t>Customer_165</t>
  </si>
  <si>
    <t>Customer_415</t>
  </si>
  <si>
    <t>Customer_942</t>
  </si>
  <si>
    <t>Customer_389</t>
  </si>
  <si>
    <t>Customer_791</t>
  </si>
  <si>
    <t>Customer_640</t>
  </si>
  <si>
    <t>Customer_578</t>
  </si>
  <si>
    <t>Customer_559</t>
  </si>
  <si>
    <t>Customer_121</t>
  </si>
  <si>
    <t>Customer_682</t>
  </si>
  <si>
    <t>Customer_734</t>
  </si>
  <si>
    <t>Customer_788</t>
  </si>
  <si>
    <t>Customer_276</t>
  </si>
  <si>
    <t>Customer_285</t>
  </si>
  <si>
    <t>Customer_883</t>
  </si>
  <si>
    <t>Customer_526</t>
  </si>
  <si>
    <t>Customer_718</t>
  </si>
  <si>
    <t>Customer_316</t>
  </si>
  <si>
    <t>Customer_113</t>
  </si>
  <si>
    <t>Customer_488</t>
  </si>
  <si>
    <t>Customer_435</t>
  </si>
  <si>
    <t>Customer_984</t>
  </si>
  <si>
    <t>Customer_946</t>
  </si>
  <si>
    <t>Customer_473</t>
  </si>
  <si>
    <t>Customer_495</t>
  </si>
  <si>
    <t>Customer_979</t>
  </si>
  <si>
    <t>Customer_433</t>
  </si>
  <si>
    <t>Customer_669</t>
  </si>
  <si>
    <t>Customer_568</t>
  </si>
  <si>
    <t>Customer_522</t>
  </si>
  <si>
    <t>Customer_541</t>
  </si>
  <si>
    <t>Customer_632</t>
  </si>
  <si>
    <t>Customer_330</t>
  </si>
  <si>
    <t>Customer_704</t>
  </si>
  <si>
    <t>Customer_462</t>
  </si>
  <si>
    <t>Customer_716</t>
  </si>
  <si>
    <t>Customer_753</t>
  </si>
  <si>
    <t>Customer_964</t>
  </si>
  <si>
    <t>Customer_344</t>
  </si>
  <si>
    <t>Customer_350</t>
  </si>
  <si>
    <t>Customer_819</t>
  </si>
  <si>
    <t>Customer_502</t>
  </si>
  <si>
    <t>Customer_265</t>
  </si>
  <si>
    <t>Customer_380</t>
  </si>
  <si>
    <t>Customer_207</t>
  </si>
  <si>
    <t>Customer_690</t>
  </si>
  <si>
    <t>Customer_935</t>
  </si>
  <si>
    <t>Customer_876</t>
  </si>
  <si>
    <t>Customer_162</t>
  </si>
  <si>
    <t>Customer_744</t>
  </si>
  <si>
    <t>Customer_722</t>
  </si>
  <si>
    <t>Customer_157</t>
  </si>
  <si>
    <t>Customer_242</t>
  </si>
  <si>
    <t>Customer_921</t>
  </si>
  <si>
    <t>Customer_494</t>
  </si>
  <si>
    <t>Customer_836</t>
  </si>
  <si>
    <t>Customer_133</t>
  </si>
  <si>
    <t>Customer_140</t>
  </si>
  <si>
    <t>Customer_789</t>
  </si>
  <si>
    <t>Customer_304</t>
  </si>
  <si>
    <t>Customer_149</t>
  </si>
  <si>
    <t>Customer_757</t>
  </si>
  <si>
    <t>Customer_838</t>
  </si>
  <si>
    <t>Customer_106</t>
  </si>
  <si>
    <t>Customer_727</t>
  </si>
  <si>
    <t>Customer_432</t>
  </si>
  <si>
    <t>Customer_933</t>
  </si>
  <si>
    <t>Customer_897</t>
  </si>
  <si>
    <t>Customer_907</t>
  </si>
  <si>
    <t>Customer_446</t>
  </si>
  <si>
    <t>Customer_714</t>
  </si>
  <si>
    <t>Customer_230</t>
  </si>
  <si>
    <t>Customer_151</t>
  </si>
  <si>
    <t>Customer_124</t>
  </si>
  <si>
    <t>Customer_899</t>
  </si>
  <si>
    <t>Customer_377</t>
  </si>
  <si>
    <t>Customer_609</t>
  </si>
  <si>
    <t>Customer_818</t>
  </si>
  <si>
    <t>Customer_828</t>
  </si>
  <si>
    <t>Customer_249</t>
  </si>
  <si>
    <t>Customer_657</t>
  </si>
  <si>
    <t>Customer_888</t>
  </si>
  <si>
    <t>Customer_484</t>
  </si>
  <si>
    <t>Customer_784</t>
  </si>
  <si>
    <t>Customer_538</t>
  </si>
  <si>
    <t>Customer_277</t>
  </si>
  <si>
    <t>Customer_783</t>
  </si>
  <si>
    <t>Customer_823</t>
  </si>
  <si>
    <t>Customer_220</t>
  </si>
  <si>
    <t>Customer_553</t>
  </si>
  <si>
    <t>Customer_194</t>
  </si>
  <si>
    <t>Customer_599</t>
  </si>
  <si>
    <t>Customer_182</t>
  </si>
  <si>
    <t>Customer_683</t>
  </si>
  <si>
    <t>Customer_408</t>
  </si>
  <si>
    <t>Customer_608</t>
  </si>
  <si>
    <t>Customer_247</t>
  </si>
  <si>
    <t>Customer_349</t>
  </si>
  <si>
    <t>Customer_413</t>
  </si>
  <si>
    <t>Customer_590</t>
  </si>
  <si>
    <t>Customer_464</t>
  </si>
  <si>
    <t>Customer_510</t>
  </si>
  <si>
    <t>Customer_989</t>
  </si>
  <si>
    <t>Customer_985</t>
  </si>
  <si>
    <t>Customer_685</t>
  </si>
  <si>
    <t>Customer_780</t>
  </si>
  <si>
    <t>Customer_761</t>
  </si>
  <si>
    <t>Customer_901</t>
  </si>
  <si>
    <t>Customer_796</t>
  </si>
  <si>
    <t>Customer_813</t>
  </si>
  <si>
    <t>Customer_499</t>
  </si>
  <si>
    <t>Customer_577</t>
  </si>
  <si>
    <t>Customer_414</t>
  </si>
  <si>
    <t>Customer_837</t>
  </si>
  <si>
    <t>Customer_639</t>
  </si>
  <si>
    <t>Customer_339</t>
  </si>
  <si>
    <t>Customer_429</t>
  </si>
  <si>
    <t>Customer_998</t>
  </si>
  <si>
    <t>Customer_855</t>
  </si>
  <si>
    <t>Customer_297</t>
  </si>
  <si>
    <t>Customer_700</t>
  </si>
  <si>
    <t>Customer_289</t>
  </si>
  <si>
    <t>Customer_760</t>
  </si>
  <si>
    <t>Customer_155</t>
  </si>
  <si>
    <t>Customer_449</t>
  </si>
  <si>
    <t>Customer_309</t>
  </si>
  <si>
    <t>Customer_658</t>
  </si>
  <si>
    <t>Customer_801</t>
  </si>
  <si>
    <t>Customer_395</t>
  </si>
  <si>
    <t>Customer_236</t>
  </si>
  <si>
    <t>Customer_600</t>
  </si>
  <si>
    <t>Customer_322</t>
  </si>
  <si>
    <t>Customer_925</t>
  </si>
  <si>
    <t>Customer_729</t>
  </si>
  <si>
    <t>Customer_758</t>
  </si>
  <si>
    <t>Customer_321</t>
  </si>
  <si>
    <t>Customer_417</t>
  </si>
  <si>
    <t>Customer_715</t>
  </si>
  <si>
    <t>Customer_768</t>
  </si>
  <si>
    <t>Customer_126</t>
  </si>
  <si>
    <t>Customer_904</t>
  </si>
  <si>
    <t>Customer_631</t>
  </si>
  <si>
    <t>Customer_120</t>
  </si>
  <si>
    <t>Customer_576</t>
  </si>
  <si>
    <t>Customer_606</t>
  </si>
  <si>
    <t>Customer_375</t>
  </si>
  <si>
    <t>Customer_726</t>
  </si>
  <si>
    <t>Customer_273</t>
  </si>
  <si>
    <t>Customer_850</t>
  </si>
  <si>
    <t>Customer_470</t>
  </si>
  <si>
    <t>Customer_175</t>
  </si>
  <si>
    <t>Customer_480</t>
  </si>
  <si>
    <t>Customer_381</t>
  </si>
  <si>
    <t>Customer_767</t>
  </si>
  <si>
    <t>Customer_150</t>
  </si>
  <si>
    <t>Customer_567</t>
  </si>
  <si>
    <t>Customer_663</t>
  </si>
  <si>
    <t>Customer_720</t>
  </si>
  <si>
    <t>Customer_544</t>
  </si>
  <si>
    <t>Customer_267</t>
  </si>
  <si>
    <t>Customer_447</t>
  </si>
  <si>
    <t>Customer_591</t>
  </si>
  <si>
    <t>Customer_990</t>
  </si>
  <si>
    <t>Customer_664</t>
  </si>
  <si>
    <t>Customer_525</t>
  </si>
  <si>
    <t>Customer_662</t>
  </si>
  <si>
    <t>Customer_203</t>
  </si>
  <si>
    <t>Customer_870</t>
  </si>
  <si>
    <t>Customer_909</t>
  </si>
  <si>
    <t>Customer_607</t>
  </si>
  <si>
    <t>Customer_821</t>
  </si>
  <si>
    <t>Customer_266</t>
  </si>
  <si>
    <t>Customer_999</t>
  </si>
  <si>
    <t>Customer_880</t>
  </si>
  <si>
    <t>Customer_170</t>
  </si>
  <si>
    <t>Customer_673</t>
  </si>
  <si>
    <t>Customer_945</t>
  </si>
  <si>
    <t>Customer_343</t>
  </si>
  <si>
    <t>Customer_406</t>
  </si>
  <si>
    <t>Customer_787</t>
  </si>
  <si>
    <t>Customer_751</t>
  </si>
  <si>
    <t>Customer_654</t>
  </si>
  <si>
    <t>Customer_807</t>
  </si>
  <si>
    <t>Customer_514</t>
  </si>
  <si>
    <t>Customer_105</t>
  </si>
  <si>
    <t>Customer_439</t>
  </si>
  <si>
    <t>Customer_926</t>
  </si>
  <si>
    <t>Customer_374</t>
  </si>
  <si>
    <t>Customer_958</t>
  </si>
  <si>
    <t>Customer_677</t>
  </si>
  <si>
    <t>Customer_195</t>
  </si>
  <si>
    <t>Customer_686</t>
  </si>
  <si>
    <t>Customer_487</t>
  </si>
  <si>
    <t>Customer_811</t>
  </si>
  <si>
    <t>Customer_980</t>
  </si>
  <si>
    <t>Customer_471</t>
  </si>
  <si>
    <t>Customer_719</t>
  </si>
  <si>
    <t>Customer_957</t>
  </si>
  <si>
    <t>Customer_806</t>
  </si>
  <si>
    <t>Customer_589</t>
  </si>
  <si>
    <t>Customer_314</t>
  </si>
  <si>
    <t>Customer_270</t>
  </si>
  <si>
    <t>Customer_212</t>
  </si>
  <si>
    <t>Customer_672</t>
  </si>
  <si>
    <t>Customer_394</t>
  </si>
  <si>
    <t>Customer_887</t>
  </si>
  <si>
    <t>Customer_555</t>
  </si>
  <si>
    <t>Customer_930</t>
  </si>
  <si>
    <t>Customer_970</t>
  </si>
  <si>
    <t>Customer_919</t>
  </si>
  <si>
    <t>Customer_318</t>
  </si>
  <si>
    <t>Customer_674</t>
  </si>
  <si>
    <t>Customer_352</t>
  </si>
  <si>
    <t>Customer_512</t>
  </si>
  <si>
    <t>Customer_913</t>
  </si>
  <si>
    <t>Customer_857</t>
  </si>
  <si>
    <t>Customer_949</t>
  </si>
  <si>
    <t>Customer_326</t>
  </si>
  <si>
    <t>Customer_779</t>
  </si>
  <si>
    <t>Customer_537</t>
  </si>
  <si>
    <t>Customer_252</t>
  </si>
  <si>
    <t>Customer_637</t>
  </si>
  <si>
    <t>Customer_368</t>
  </si>
  <si>
    <t>Customer_881</t>
  </si>
  <si>
    <t>Customer_456</t>
  </si>
  <si>
    <t>Customer_554</t>
  </si>
  <si>
    <t>Customer_786</t>
  </si>
  <si>
    <t>Customer_797</t>
  </si>
  <si>
    <t>Customer_501</t>
  </si>
  <si>
    <t>Customer_570</t>
  </si>
  <si>
    <t>Customer_227</t>
  </si>
  <si>
    <t>Customer_752</t>
  </si>
  <si>
    <t>Customer_739</t>
  </si>
  <si>
    <t>Customer_530</t>
  </si>
  <si>
    <t>Customer_572</t>
  </si>
  <si>
    <t>Customer_574</t>
  </si>
  <si>
    <t>Customer_129</t>
  </si>
  <si>
    <t>Customer_810</t>
  </si>
  <si>
    <t>Customer_228</t>
  </si>
  <si>
    <t>Customer_808</t>
  </si>
  <si>
    <t>Customer_457</t>
  </si>
  <si>
    <t>Customer_268</t>
  </si>
  <si>
    <t>Customer_187</t>
  </si>
  <si>
    <t>Customer_423</t>
  </si>
  <si>
    <t>Customer_112</t>
  </si>
  <si>
    <t>Customer_400</t>
  </si>
  <si>
    <t>Customer_244</t>
  </si>
  <si>
    <t>Customer_547</t>
  </si>
  <si>
    <t>Customer_916</t>
  </si>
  <si>
    <t>Customer_219</t>
  </si>
  <si>
    <t>Customer_240</t>
  </si>
  <si>
    <t>Customer_328</t>
  </si>
  <si>
    <t>Customer_542</t>
  </si>
  <si>
    <t>Customer_689</t>
  </si>
  <si>
    <t>Customer_827</t>
  </si>
  <si>
    <t>Customer_180</t>
  </si>
  <si>
    <t>Customer_681</t>
  </si>
  <si>
    <t>Customer_620</t>
  </si>
  <si>
    <t>Customer_271</t>
  </si>
  <si>
    <t>Customer_393</t>
  </si>
  <si>
    <t>Customer_308</t>
  </si>
  <si>
    <t>Customer_232</t>
  </si>
  <si>
    <t>Customer_152</t>
  </si>
  <si>
    <t>Customer_253</t>
  </si>
  <si>
    <t>Customer_367</t>
  </si>
  <si>
    <t>Customer_835</t>
  </si>
  <si>
    <t>Customer_143</t>
  </si>
  <si>
    <t>Customer_628</t>
  </si>
  <si>
    <t>Customer_699</t>
  </si>
  <si>
    <t>Customer_454</t>
  </si>
  <si>
    <t>Customer_535</t>
  </si>
  <si>
    <t>Customer_839</t>
  </si>
  <si>
    <t>Customer_573</t>
  </si>
  <si>
    <t>Customer_450</t>
  </si>
  <si>
    <t>Customer_130</t>
  </si>
  <si>
    <t>Customer_452</t>
  </si>
  <si>
    <t>Customer_931</t>
  </si>
  <si>
    <t>Customer_842</t>
  </si>
  <si>
    <t>Customer_402</t>
  </si>
  <si>
    <t>Customer_305</t>
  </si>
  <si>
    <t>Customer_960</t>
  </si>
  <si>
    <t>Customer_370</t>
  </si>
  <si>
    <t>Customer_485</t>
  </si>
  <si>
    <t>Customer_154</t>
  </si>
  <si>
    <t>Customer_569</t>
  </si>
  <si>
    <t>Customer_965</t>
  </si>
  <si>
    <t>Customer_294</t>
  </si>
  <si>
    <t>Customer_141</t>
  </si>
  <si>
    <t>Customer_341</t>
  </si>
  <si>
    <t>Customer_117</t>
  </si>
  <si>
    <t>Customer_419</t>
  </si>
  <si>
    <t>Customer_900</t>
  </si>
  <si>
    <t>Customer_215</t>
  </si>
  <si>
    <t>Customer_804</t>
  </si>
  <si>
    <t>Customer_851</t>
  </si>
  <si>
    <t>Customer_483</t>
  </si>
  <si>
    <t>Customer_536</t>
  </si>
  <si>
    <t>Customer_497</t>
  </si>
  <si>
    <t>Customer_962</t>
  </si>
  <si>
    <t>Customer_114</t>
  </si>
  <si>
    <t>Customer_134</t>
  </si>
  <si>
    <t>Customer_164</t>
  </si>
  <si>
    <t>Customer_186</t>
  </si>
  <si>
    <t>Customer_436</t>
  </si>
  <si>
    <t>Customer_995</t>
  </si>
  <si>
    <t>Customer_174</t>
  </si>
  <si>
    <t>Customer_725</t>
  </si>
  <si>
    <t>Customer_550</t>
  </si>
  <si>
    <t>Customer_627</t>
  </si>
  <si>
    <t>Customer_198</t>
  </si>
  <si>
    <t>Customer_521</t>
  </si>
  <si>
    <t>Customer_145</t>
  </si>
  <si>
    <t>Customer_156</t>
  </si>
  <si>
    <t>Customer_118</t>
  </si>
  <si>
    <t>Customer_830</t>
  </si>
  <si>
    <t>Customer_197</t>
  </si>
  <si>
    <t>Customer_969</t>
  </si>
  <si>
    <t>Customer_298</t>
  </si>
  <si>
    <t>Customer_597</t>
  </si>
  <si>
    <t>Customer_211</t>
  </si>
  <si>
    <t>Customer_434</t>
  </si>
  <si>
    <t>Customer_694</t>
  </si>
  <si>
    <t>Customer_859</t>
  </si>
  <si>
    <t>Customer_987</t>
  </si>
  <si>
    <t>Customer_713</t>
  </si>
  <si>
    <t>Customer_364</t>
  </si>
  <si>
    <t>Customer_288</t>
  </si>
  <si>
    <t>Customer_160</t>
  </si>
  <si>
    <t>Customer_834</t>
  </si>
  <si>
    <t>Customer_794</t>
  </si>
  <si>
    <t>Customer_549</t>
  </si>
  <si>
    <t>Customer_575</t>
  </si>
  <si>
    <t>Customer_610</t>
  </si>
  <si>
    <t>Customer_622</t>
  </si>
  <si>
    <t>Customer_879</t>
  </si>
  <si>
    <t>Customer_132</t>
  </si>
  <si>
    <t>Customer_750</t>
  </si>
  <si>
    <t>Customer_482</t>
  </si>
  <si>
    <t>Customer_678</t>
  </si>
  <si>
    <t>Customer_504</t>
  </si>
  <si>
    <t>Customer_956</t>
  </si>
  <si>
    <t>Customer_560</t>
  </si>
  <si>
    <t>Customer_179</t>
  </si>
  <si>
    <t>Customer_233</t>
  </si>
  <si>
    <t>Customer_645</t>
  </si>
  <si>
    <t>Customer_975</t>
  </si>
  <si>
    <t>Customer_803</t>
  </si>
  <si>
    <t>Customer_825</t>
  </si>
  <si>
    <t>Customer_392</t>
  </si>
  <si>
    <t>Customer_911</t>
  </si>
  <si>
    <t>Customer_481</t>
  </si>
  <si>
    <t>Customer_254</t>
  </si>
  <si>
    <t>Customer_596</t>
  </si>
  <si>
    <t>Customer_696</t>
  </si>
  <si>
    <t>Customer_941</t>
  </si>
  <si>
    <t>Customer_614</t>
  </si>
  <si>
    <t>Customer_781</t>
  </si>
  <si>
    <t>Customer_619</t>
  </si>
  <si>
    <t>Customer_256</t>
  </si>
  <si>
    <t>Customer_766</t>
  </si>
  <si>
    <t>Customer_103</t>
  </si>
  <si>
    <t>Customer_816</t>
  </si>
  <si>
    <t>Customer_466</t>
  </si>
  <si>
    <t>Customer_286</t>
  </si>
  <si>
    <t>Customer_978</t>
  </si>
  <si>
    <t>Customer_717</t>
  </si>
  <si>
    <t>Customer_585</t>
  </si>
  <si>
    <t>Customer_199</t>
  </si>
  <si>
    <t>Customer_749</t>
  </si>
  <si>
    <t>Customer_333</t>
  </si>
  <si>
    <t>Customer_523</t>
  </si>
  <si>
    <t>Customer_356</t>
  </si>
  <si>
    <t>Customer_618</t>
  </si>
  <si>
    <t>Customer_944</t>
  </si>
  <si>
    <t>Customer_902</t>
  </si>
  <si>
    <t>Customer_108</t>
  </si>
  <si>
    <t>Customer_733</t>
  </si>
  <si>
    <t>Customer_976</t>
  </si>
  <si>
    <t>Customer_190</t>
  </si>
  <si>
    <t>Customer_545</t>
  </si>
  <si>
    <t>Customer_865</t>
  </si>
  <si>
    <t>Customer_412</t>
  </si>
  <si>
    <t>Customer_809</t>
  </si>
  <si>
    <t>Customer_490</t>
  </si>
  <si>
    <t>Customer_459</t>
  </si>
  <si>
    <t>Customer_802</t>
  </si>
  <si>
    <t>Customer_910</t>
  </si>
  <si>
    <t>Customer_863</t>
  </si>
  <si>
    <t>Customer_551</t>
  </si>
  <si>
    <t>Customer_467</t>
  </si>
  <si>
    <t>Customer_829</t>
  </si>
  <si>
    <t>Customer_755</t>
  </si>
  <si>
    <t>Customer_914</t>
  </si>
  <si>
    <t>Customer_708</t>
  </si>
  <si>
    <t>Customer_119</t>
  </si>
  <si>
    <t>Customer_905</t>
  </si>
  <si>
    <t>Customer_671</t>
  </si>
  <si>
    <t>Customer_636</t>
  </si>
  <si>
    <t>Customer_442</t>
  </si>
  <si>
    <t>Customer_666</t>
  </si>
  <si>
    <t>Customer_890</t>
  </si>
  <si>
    <t>Customer_885</t>
  </si>
  <si>
    <t>Customer_303</t>
  </si>
  <si>
    <t>Customer_248</t>
  </si>
  <si>
    <t>Customer_924</t>
  </si>
  <si>
    <t>Customer_582</t>
  </si>
  <si>
    <t>Customer_378</t>
  </si>
  <si>
    <t>Customer_629</t>
  </si>
  <si>
    <t>Customer_845</t>
  </si>
  <si>
    <t>Customer_477</t>
  </si>
  <si>
    <t>Customer_489</t>
  </si>
  <si>
    <t>Customer_296</t>
  </si>
  <si>
    <t>Customer_362</t>
  </si>
  <si>
    <t>Customer_407</t>
  </si>
  <si>
    <t>Customer_317</t>
  </si>
  <si>
    <t>Customer_869</t>
  </si>
  <si>
    <t>Customer_478</t>
  </si>
  <si>
    <t>Customer_213</t>
  </si>
  <si>
    <t>Customer_594</t>
  </si>
  <si>
    <t>Customer_463</t>
  </si>
  <si>
    <t>Customer_245</t>
  </si>
  <si>
    <t>Customer_873</t>
  </si>
  <si>
    <t>Customer_698</t>
  </si>
  <si>
    <t>Customer_100</t>
  </si>
  <si>
    <t>Customer_782</t>
  </si>
  <si>
    <t>Customer_584</t>
  </si>
  <si>
    <t>Customer_974</t>
  </si>
  <si>
    <t>Customer_360</t>
  </si>
  <si>
    <t>Customer_398</t>
  </si>
  <si>
    <t>Customer_275</t>
  </si>
  <si>
    <t>Customer_476</t>
  </si>
  <si>
    <t>Customer_172</t>
  </si>
  <si>
    <t>Customer_641</t>
  </si>
  <si>
    <t>Customer_196</t>
  </si>
  <si>
    <t>Customer_280</t>
  </si>
  <si>
    <t>Customer_651</t>
  </si>
  <si>
    <t>Customer_401</t>
  </si>
  <si>
    <t>Customer_391</t>
  </si>
  <si>
    <t>Customer_128</t>
  </si>
  <si>
    <t>Customer_615</t>
  </si>
  <si>
    <t>Customer_540</t>
  </si>
  <si>
    <t>Customer_886</t>
  </si>
  <si>
    <t>Customer_981</t>
  </si>
  <si>
    <t>Customer_390</t>
  </si>
  <si>
    <t>Customer_260</t>
  </si>
  <si>
    <t>Customer_278</t>
  </si>
  <si>
    <t>Customer_950</t>
  </si>
  <si>
    <t>Customer_427</t>
  </si>
  <si>
    <t>Customer_731</t>
  </si>
  <si>
    <t>Customer_177</t>
  </si>
  <si>
    <t>Customer_649</t>
  </si>
  <si>
    <t>Customer_246</t>
  </si>
  <si>
    <t>Customer_997</t>
  </si>
  <si>
    <t>Customer_793</t>
  </si>
  <si>
    <t>Customer_875</t>
  </si>
  <si>
    <t>Customer_539</t>
  </si>
  <si>
    <t>Customer_624</t>
  </si>
  <si>
    <t>Customer_259</t>
  </si>
  <si>
    <t>Customer_453</t>
  </si>
  <si>
    <t>Customer_896</t>
  </si>
  <si>
    <t>Customer_327</t>
  </si>
  <si>
    <t>Customer_659</t>
  </si>
  <si>
    <t>Customer_107</t>
  </si>
  <si>
    <t>Customer_209</t>
  </si>
  <si>
    <t>Customer_159</t>
  </si>
  <si>
    <t>Customer_846</t>
  </si>
  <si>
    <t>Customer_345</t>
  </si>
  <si>
    <t>Customer_468</t>
  </si>
  <si>
    <t>Customer_736</t>
  </si>
  <si>
    <t>Customer_712</t>
  </si>
  <si>
    <t>Customer_611</t>
  </si>
  <si>
    <t>Customer_762</t>
  </si>
  <si>
    <t>Customer_102</t>
  </si>
  <si>
    <t>Customer_814</t>
  </si>
  <si>
    <t>Customer_820</t>
  </si>
  <si>
    <t>Customer_387</t>
  </si>
  <si>
    <t>Customer_336</t>
  </si>
  <si>
    <t>Customer_208</t>
  </si>
  <si>
    <t>Customer_221</t>
  </si>
  <si>
    <t>Customer_884</t>
  </si>
  <si>
    <t>Customer_351</t>
  </si>
  <si>
    <t>Customer_983</t>
  </si>
  <si>
    <t>Customer_191</t>
  </si>
  <si>
    <t>Customer_217</t>
  </si>
  <si>
    <t>Customer_638</t>
  </si>
  <si>
    <t>Customer_257</t>
  </si>
  <si>
    <t>Customer_319</t>
  </si>
  <si>
    <t>Customer_184</t>
  </si>
  <si>
    <t>Customer_455</t>
  </si>
  <si>
    <t>Customer_844</t>
  </si>
  <si>
    <t>Customer_169</t>
  </si>
  <si>
    <t>Customer_513</t>
  </si>
  <si>
    <t>Customer_898</t>
  </si>
  <si>
    <t>Customer_847</t>
  </si>
  <si>
    <t>Customer_653</t>
  </si>
  <si>
    <t>Customer_312</t>
  </si>
  <si>
    <t>Customer_765</t>
  </si>
  <si>
    <t>Customer_201</t>
  </si>
  <si>
    <t>Customer_426</t>
  </si>
  <si>
    <t>Customer_571</t>
  </si>
  <si>
    <t>Customer_660</t>
  </si>
  <si>
    <t>Customer_189</t>
  </si>
  <si>
    <t>Customer_832</t>
  </si>
  <si>
    <t>Customer_338</t>
  </si>
  <si>
    <t>Customer_505</t>
  </si>
  <si>
    <t>Customer_643</t>
  </si>
  <si>
    <t>Customer_515</t>
  </si>
  <si>
    <t>Customer_581</t>
  </si>
  <si>
    <t>Customer_534</t>
  </si>
  <si>
    <t>Customer_204</t>
  </si>
  <si>
    <t>Customer_503</t>
  </si>
  <si>
    <t>Customer_746</t>
  </si>
  <si>
    <t>Customer_966</t>
  </si>
  <si>
    <t>Customer_109</t>
  </si>
  <si>
    <t>Customer_146</t>
  </si>
  <si>
    <t>Customer_135</t>
  </si>
  <si>
    <t>Customer_961</t>
  </si>
  <si>
    <t>Customer_139</t>
  </si>
  <si>
    <t>Customer_792</t>
  </si>
  <si>
    <t>Customer_486</t>
  </si>
  <si>
    <t>Customer_498</t>
  </si>
  <si>
    <t>Customer_692</t>
  </si>
  <si>
    <t>Customer_646</t>
  </si>
  <si>
    <t>Customer_684</t>
  </si>
  <si>
    <t>Customer_917</t>
  </si>
  <si>
    <t>Customer_633</t>
  </si>
  <si>
    <t>Customer_867</t>
  </si>
  <si>
    <t>Customer_763</t>
  </si>
  <si>
    <t>Customer_371</t>
  </si>
  <si>
    <t>Customer_532</t>
  </si>
  <si>
    <t>Customer_923</t>
  </si>
  <si>
    <t>Customer_332</t>
  </si>
  <si>
    <t>Customer_564</t>
  </si>
  <si>
    <t>Customer_444</t>
  </si>
  <si>
    <t>Customer_861</t>
  </si>
  <si>
    <t>Customer_769</t>
  </si>
  <si>
    <t>Customer_993</t>
  </si>
  <si>
    <t>Customer_679</t>
  </si>
  <si>
    <t>Customer_566</t>
  </si>
  <si>
    <t>Customer_496</t>
  </si>
  <si>
    <t>Customer_425</t>
  </si>
  <si>
    <t>Customer_231</t>
  </si>
  <si>
    <t>Customer_348</t>
  </si>
  <si>
    <t>Customer_862</t>
  </si>
  <si>
    <t>Customer_798</t>
  </si>
  <si>
    <t>Customer_730</t>
  </si>
  <si>
    <t>Customer_937</t>
  </si>
  <si>
    <t>Customer_479</t>
  </si>
  <si>
    <t>Customer_724</t>
  </si>
  <si>
    <t>Customer_469</t>
  </si>
  <si>
    <t>Customer_520</t>
  </si>
  <si>
    <t>Customer_892</t>
  </si>
  <si>
    <t>Customer_848</t>
  </si>
  <si>
    <t>Customer_866</t>
  </si>
  <si>
    <t>Customer_770</t>
  </si>
  <si>
    <t>Customer_238</t>
  </si>
  <si>
    <t>Customer_668</t>
  </si>
  <si>
    <t>Customer_927</t>
  </si>
  <si>
    <t>Customer_742</t>
  </si>
  <si>
    <t>Customer_602</t>
  </si>
  <si>
    <t>Customer_972</t>
  </si>
  <si>
    <t>Customer_661</t>
  </si>
  <si>
    <t>Customer_357</t>
  </si>
  <si>
    <t>Customer_588</t>
  </si>
  <si>
    <t>Customer_263</t>
  </si>
  <si>
    <t>Customer_858</t>
  </si>
  <si>
    <t>Customer_764</t>
  </si>
  <si>
    <t>Customer_125</t>
  </si>
  <si>
    <t>Customer_771</t>
  </si>
  <si>
    <t>Customer_405</t>
  </si>
  <si>
    <t>Customer_915</t>
  </si>
  <si>
    <t>Customer_703</t>
  </si>
  <si>
    <t>Customer_410</t>
  </si>
  <si>
    <t>Customer_428</t>
  </si>
  <si>
    <t>Customer_385</t>
  </si>
  <si>
    <t>Customer_300</t>
  </si>
  <si>
    <t>Customer_115</t>
  </si>
  <si>
    <t>Customer_397</t>
  </si>
  <si>
    <t>Customer_938</t>
  </si>
  <si>
    <t>Customer_977</t>
  </si>
  <si>
    <t>Customer_101</t>
  </si>
  <si>
    <t>Customer_561</t>
  </si>
  <si>
    <t>Customer_565</t>
  </si>
  <si>
    <t>Customer_507</t>
  </si>
  <si>
    <t>Customer_648</t>
  </si>
  <si>
    <t>Customer_136</t>
  </si>
  <si>
    <t>Customer_320</t>
  </si>
  <si>
    <t>Customer_912</t>
  </si>
  <si>
    <t>Customer_872</t>
  </si>
  <si>
    <t>Customer_460</t>
  </si>
  <si>
    <t>Customer_465</t>
  </si>
  <si>
    <t>Customer_528</t>
  </si>
  <si>
    <t>Customer_849</t>
  </si>
  <si>
    <t>Customer_508</t>
  </si>
  <si>
    <t>Customer_171</t>
  </si>
  <si>
    <t>Customer_358</t>
  </si>
  <si>
    <t>Customer_854</t>
  </si>
  <si>
    <t>Customer_448</t>
  </si>
  <si>
    <t>Customer_740</t>
  </si>
  <si>
    <t>Customer_697</t>
  </si>
  <si>
    <t>Customer_475</t>
  </si>
  <si>
    <t>Customer_634</t>
  </si>
  <si>
    <t>Customer_365</t>
  </si>
  <si>
    <t>Customer_748</t>
  </si>
  <si>
    <t>Customer_506</t>
  </si>
  <si>
    <t>Customer_592</t>
  </si>
  <si>
    <t>Customer_239</t>
  </si>
  <si>
    <t>Customer_386</t>
  </si>
  <si>
    <t>Customer_928</t>
  </si>
  <si>
    <t>Customer_384</t>
  </si>
  <si>
    <t>Customer_777</t>
  </si>
  <si>
    <t>Customer_192</t>
  </si>
  <si>
    <t>Customer_279</t>
  </si>
  <si>
    <t>Customer_580</t>
  </si>
  <si>
    <t>Customer_399</t>
  </si>
  <si>
    <t>Customer_626</t>
  </si>
  <si>
    <t>Customer_290</t>
  </si>
  <si>
    <t>Customer_705</t>
  </si>
  <si>
    <t>Customer_383</t>
  </si>
  <si>
    <t>Customer_388</t>
  </si>
  <si>
    <t>Customer_895</t>
  </si>
  <si>
    <t>Customer_531</t>
  </si>
  <si>
    <t>Rohan Das</t>
  </si>
  <si>
    <t>Amit Sharma</t>
  </si>
  <si>
    <t>Rahul Verma</t>
  </si>
  <si>
    <t>Pooja Joshi</t>
  </si>
  <si>
    <t>Sneha Iyer</t>
  </si>
  <si>
    <t>Priya Nair</t>
  </si>
  <si>
    <t>Anjali Singh</t>
  </si>
  <si>
    <t>Karan Mehta</t>
  </si>
  <si>
    <t>Vikram Patel</t>
  </si>
  <si>
    <t>Meera Rao</t>
  </si>
  <si>
    <t>Nutty Delight</t>
  </si>
  <si>
    <t>White Chocolate</t>
  </si>
  <si>
    <t>Dark Chocolate</t>
  </si>
  <si>
    <t>Milk Chocolate</t>
  </si>
  <si>
    <t>Premium Truffle</t>
  </si>
  <si>
    <t>CocoaTreat</t>
  </si>
  <si>
    <t>MilkyBar</t>
  </si>
  <si>
    <t>SweetNuts</t>
  </si>
  <si>
    <t>CrunchyJoy</t>
  </si>
  <si>
    <t>Silk</t>
  </si>
  <si>
    <t>DarkMagic</t>
  </si>
  <si>
    <t>ChocoLuxe</t>
  </si>
  <si>
    <t>TruffleBite</t>
  </si>
  <si>
    <t>Credit Card</t>
  </si>
  <si>
    <t>Cash</t>
  </si>
  <si>
    <t>Bank Transfer</t>
  </si>
  <si>
    <t>Online</t>
  </si>
  <si>
    <t>Total Amount (INR)</t>
  </si>
  <si>
    <t>Row Labels</t>
  </si>
  <si>
    <t>Grand Total</t>
  </si>
  <si>
    <t>Sum of Total Amount (INR)</t>
  </si>
  <si>
    <t>Count of Order ID</t>
  </si>
  <si>
    <t>2024</t>
  </si>
  <si>
    <t>2025</t>
  </si>
  <si>
    <t>2026</t>
  </si>
  <si>
    <t>2027</t>
  </si>
  <si>
    <t>Global Chocolates Sales Dashboard (2024-27)</t>
  </si>
  <si>
    <t>Sandeep Chocolates Pvt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</si>
</sst>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2" formatCode="_ &quot;₹&quot;\ * #,##0_ ;_ &quot;₹&quot;\ * \-#,##0_ ;_ &quot;₹&quot;\ * &quot;-&quot;_ ;_ @_ "/>
    <numFmt numFmtId="164" formatCode="[$-F800]dddd\,\ mmmm\ dd\,\ yyyy"/>
    <numFmt numFmtId="165" formatCode="&quot;₹&quot;\ #,##0"/>
  </numFmts>
  <fonts count="3" x14ac:knownFonts="1">
    <font>
      <sz val="11"/>
      <color theme="1"/>
      <name val="Calibri"/>
      <family val="2"/>
      <scheme val="minor"/>
    </font>
    <font>
      <b/>
      <sz val="11"/>
      <color theme="1"/>
      <name val="Calibri"/>
      <family val="2"/>
      <scheme val="minor"/>
    </font>
    <font>
      <b/>
      <sz val="22"/>
      <color theme="1"/>
      <name val="Bodoni MT Black"/>
      <family val="1"/>
    </font>
  </fonts>
  <fills count="3">
    <fill>
      <patternFill patternType="none"/>
    </fill>
    <fill>
      <patternFill patternType="gray125"/>
    </fill>
    <fill>
      <patternFill patternType="solid">
        <fgColor theme="9" tint="0.39997558519241921"/>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5">
    <xf numFmtId="0" fontId="0" fillId="0" borderId="0" xfId="0"/>
    <xf numFmtId="0" fontId="1" fillId="0" borderId="1" xfId="0" applyFont="1" applyBorder="1" applyAlignment="1">
      <alignment horizontal="center" vertical="top"/>
    </xf>
    <xf numFmtId="165" fontId="0" fillId="0" borderId="0" xfId="0" applyNumberFormat="1"/>
    <xf numFmtId="165" fontId="0" fillId="0" borderId="0" xfId="0" applyNumberFormat="1" applyAlignment="1">
      <alignment horizontal="center" vertical="center"/>
    </xf>
    <xf numFmtId="0" fontId="0" fillId="0" borderId="0" xfId="0" applyAlignment="1">
      <alignment horizontal="center" vertical="center"/>
    </xf>
    <xf numFmtId="164" fontId="0" fillId="0" borderId="0" xfId="0" applyNumberFormat="1" applyAlignment="1">
      <alignment horizontal="center" vertical="center"/>
    </xf>
    <xf numFmtId="0" fontId="0" fillId="0" borderId="0" xfId="0" pivotButton="1"/>
    <xf numFmtId="0" fontId="0" fillId="0" borderId="0" xfId="0" applyAlignment="1">
      <alignment horizontal="left"/>
    </xf>
    <xf numFmtId="42" fontId="0" fillId="0" borderId="0" xfId="0" applyNumberFormat="1"/>
    <xf numFmtId="0" fontId="0" fillId="2" borderId="0" xfId="0" applyFill="1"/>
    <xf numFmtId="0" fontId="0" fillId="2" borderId="0" xfId="0" applyFill="1" applyAlignment="1">
      <alignment horizontal="left"/>
    </xf>
    <xf numFmtId="165" fontId="0" fillId="2" borderId="0" xfId="0" applyNumberFormat="1" applyFill="1"/>
    <xf numFmtId="3" fontId="0" fillId="0" borderId="0" xfId="0" applyNumberFormat="1"/>
    <xf numFmtId="0" fontId="2" fillId="2" borderId="0" xfId="0" applyFont="1" applyFill="1" applyAlignment="1">
      <alignment horizontal="center" vertical="center"/>
    </xf>
    <xf numFmtId="0" fontId="1" fillId="0" borderId="0" xfId="0" applyFont="1" applyAlignment="1">
      <alignment horizontal="center"/>
    </xf>
  </cellXfs>
  <cellStyles count="1">
    <cellStyle name="Normal" xfId="0" builtinId="0"/>
  </cellStyles>
  <dxfs count="12">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numFmt numFmtId="0" formatCode="General"/>
    </dxf>
    <dxf>
      <numFmt numFmtId="165" formatCode="&quot;₹&quot;\ #,##0"/>
      <alignment horizontal="center" vertical="center" textRotation="0" wrapText="0" indent="0" justifyLastLine="0" shrinkToFit="0" readingOrder="0"/>
    </dxf>
    <dxf>
      <alignment horizontal="center" vertical="center" textRotation="0" wrapText="0" indent="0" justifyLastLine="0" shrinkToFit="0" readingOrder="0"/>
    </dxf>
    <dxf>
      <numFmt numFmtId="166" formatCode="yyyy\-mm\-dd\ hh:mm:ss"/>
      <alignment horizontal="center" vertical="center"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7B3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microsoft.com/office/2007/relationships/slicerCache" Target="slicerCaches/slicerCache4.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3.xml"/><Relationship Id="rId5" Type="http://schemas.openxmlformats.org/officeDocument/2006/relationships/pivotCacheDefinition" Target="pivotCache/pivotCacheDefinition1.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[Retail_Chocolate_Sales_India_Global.xlsx]Pivot 1&amp;2!PivotTable1</c:name>
    <c:fmtId val="24"/>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Total Sales</a:t>
            </a:r>
            <a:r>
              <a:rPr lang="en-US" sz="1600" b="1" baseline="0"/>
              <a:t> By Country</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62917538967478"/>
          <c:y val="0.17837962962962964"/>
          <c:w val="0.81221362399667751"/>
          <c:h val="0.70959135316418775"/>
        </c:manualLayout>
      </c:layout>
      <c:barChart>
        <c:barDir val="bar"/>
        <c:grouping val="clustered"/>
        <c:varyColors val="0"/>
        <c:ser>
          <c:idx val="0"/>
          <c:order val="0"/>
          <c:tx>
            <c:strRef>
              <c:f>'Pivot 1&amp;2'!$B$3</c:f>
              <c:strCache>
                <c:ptCount val="1"/>
                <c:pt idx="0">
                  <c:v>Total</c:v>
                </c:pt>
              </c:strCache>
            </c:strRef>
          </c:tx>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1&amp;2'!$A$4:$A$11</c:f>
              <c:strCache>
                <c:ptCount val="7"/>
                <c:pt idx="0">
                  <c:v>India</c:v>
                </c:pt>
                <c:pt idx="1">
                  <c:v>Germany</c:v>
                </c:pt>
                <c:pt idx="2">
                  <c:v>UAE</c:v>
                </c:pt>
                <c:pt idx="3">
                  <c:v>Canada</c:v>
                </c:pt>
                <c:pt idx="4">
                  <c:v>Australia</c:v>
                </c:pt>
                <c:pt idx="5">
                  <c:v>USA</c:v>
                </c:pt>
                <c:pt idx="6">
                  <c:v>UK</c:v>
                </c:pt>
              </c:strCache>
            </c:strRef>
          </c:cat>
          <c:val>
            <c:numRef>
              <c:f>'Pivot 1&amp;2'!$B$4:$B$11</c:f>
              <c:numCache>
                <c:formatCode>_("₹"* #,##0_);_("₹"* \(#,##0\);_("₹"* "-"_);_(@_)</c:formatCode>
                <c:ptCount val="7"/>
                <c:pt idx="0">
                  <c:v>12663860</c:v>
                </c:pt>
                <c:pt idx="1">
                  <c:v>12148286</c:v>
                </c:pt>
                <c:pt idx="2">
                  <c:v>12093417</c:v>
                </c:pt>
                <c:pt idx="3">
                  <c:v>11949790</c:v>
                </c:pt>
                <c:pt idx="4">
                  <c:v>11910251</c:v>
                </c:pt>
                <c:pt idx="5">
                  <c:v>11315911</c:v>
                </c:pt>
                <c:pt idx="6">
                  <c:v>11071137</c:v>
                </c:pt>
              </c:numCache>
            </c:numRef>
          </c:val>
          <c:extLst>
            <c:ext xmlns:c16="http://schemas.microsoft.com/office/drawing/2014/chart" uri="{C3380CC4-5D6E-409C-BE32-E72D297353CC}">
              <c16:uniqueId val="{00000000-E3D1-4409-9A90-EAD7DF291961}"/>
            </c:ext>
          </c:extLst>
        </c:ser>
        <c:dLbls>
          <c:dLblPos val="inEnd"/>
          <c:showLegendKey val="0"/>
          <c:showVal val="1"/>
          <c:showCatName val="0"/>
          <c:showSerName val="0"/>
          <c:showPercent val="0"/>
          <c:showBubbleSize val="0"/>
        </c:dLbls>
        <c:gapWidth val="25"/>
        <c:axId val="1103844480"/>
        <c:axId val="1103854080"/>
      </c:barChart>
      <c:catAx>
        <c:axId val="1103844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03854080"/>
        <c:crosses val="autoZero"/>
        <c:auto val="1"/>
        <c:lblAlgn val="ctr"/>
        <c:lblOffset val="100"/>
        <c:noMultiLvlLbl val="0"/>
      </c:catAx>
      <c:valAx>
        <c:axId val="1103854080"/>
        <c:scaling>
          <c:orientation val="minMax"/>
          <c:min val="0"/>
        </c:scaling>
        <c:delete val="0"/>
        <c:axPos val="b"/>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03844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[Retail_Chocolate_Sales_India_Global.xlsx]Pivot 3&amp;4!PivotTable3</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a:t>
            </a:r>
            <a:r>
              <a:rPr lang="en-US" b="1" baseline="0"/>
              <a:t> by Payment mode </a:t>
            </a:r>
          </a:p>
        </c:rich>
      </c:tx>
      <c:overlay val="0"/>
      <c:spPr>
        <a:solidFill>
          <a:schemeClr val="accent2">
            <a:lumMod val="60000"/>
            <a:lumOff val="40000"/>
          </a:schemeClr>
        </a:solid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tint val="58000"/>
            </a:schemeClr>
          </a:solidFill>
          <a:ln w="19050">
            <a:solidFill>
              <a:schemeClr val="lt1"/>
            </a:solidFill>
          </a:ln>
          <a:effectLst/>
        </c:spPr>
      </c:pivotFmt>
      <c:pivotFmt>
        <c:idx val="3"/>
        <c:spPr>
          <a:solidFill>
            <a:schemeClr val="accent2">
              <a:tint val="86000"/>
            </a:schemeClr>
          </a:solidFill>
          <a:ln w="19050">
            <a:solidFill>
              <a:schemeClr val="lt1"/>
            </a:solidFill>
          </a:ln>
          <a:effectLst/>
        </c:spPr>
      </c:pivotFmt>
      <c:pivotFmt>
        <c:idx val="4"/>
        <c:spPr>
          <a:solidFill>
            <a:schemeClr val="accent2">
              <a:shade val="86000"/>
            </a:schemeClr>
          </a:solidFill>
          <a:ln w="19050">
            <a:solidFill>
              <a:schemeClr val="lt1"/>
            </a:solidFill>
          </a:ln>
          <a:effectLst/>
        </c:spPr>
      </c:pivotFmt>
      <c:pivotFmt>
        <c:idx val="5"/>
        <c:spPr>
          <a:solidFill>
            <a:schemeClr val="accent2">
              <a:shade val="58000"/>
            </a:schemeClr>
          </a:solidFill>
          <a:ln w="19050">
            <a:solidFill>
              <a:schemeClr val="lt1"/>
            </a:solidFill>
          </a:ln>
          <a:effectLst/>
        </c:spPr>
      </c:pivotFmt>
      <c:pivotFmt>
        <c:idx val="6"/>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2">
              <a:tint val="58000"/>
            </a:schemeClr>
          </a:solidFill>
          <a:ln w="19050">
            <a:solidFill>
              <a:schemeClr val="lt1"/>
            </a:solidFill>
          </a:ln>
          <a:effectLst/>
        </c:spPr>
      </c:pivotFmt>
      <c:pivotFmt>
        <c:idx val="8"/>
        <c:spPr>
          <a:solidFill>
            <a:schemeClr val="accent2">
              <a:tint val="86000"/>
            </a:schemeClr>
          </a:solidFill>
          <a:ln w="19050">
            <a:solidFill>
              <a:schemeClr val="lt1"/>
            </a:solidFill>
          </a:ln>
          <a:effectLst/>
        </c:spPr>
      </c:pivotFmt>
      <c:pivotFmt>
        <c:idx val="9"/>
        <c:spPr>
          <a:solidFill>
            <a:schemeClr val="accent2">
              <a:shade val="86000"/>
            </a:schemeClr>
          </a:solidFill>
          <a:ln w="19050">
            <a:solidFill>
              <a:schemeClr val="lt1"/>
            </a:solidFill>
          </a:ln>
          <a:effectLst/>
        </c:spPr>
      </c:pivotFmt>
      <c:pivotFmt>
        <c:idx val="10"/>
        <c:spPr>
          <a:solidFill>
            <a:schemeClr val="accent2">
              <a:shade val="58000"/>
            </a:schemeClr>
          </a:solidFill>
          <a:ln w="19050">
            <a:solidFill>
              <a:schemeClr val="lt1"/>
            </a:solidFill>
          </a:ln>
          <a:effectLst/>
        </c:spPr>
      </c:pivotFmt>
    </c:pivotFmts>
    <c:plotArea>
      <c:layout>
        <c:manualLayout>
          <c:layoutTarget val="inner"/>
          <c:xMode val="edge"/>
          <c:yMode val="edge"/>
          <c:x val="0.22754002624671918"/>
          <c:y val="0.12018226888305629"/>
          <c:w val="0.53658683289588793"/>
          <c:h val="0.87981773111694372"/>
        </c:manualLayout>
      </c:layout>
      <c:pieChart>
        <c:varyColors val="1"/>
        <c:ser>
          <c:idx val="0"/>
          <c:order val="0"/>
          <c:tx>
            <c:strRef>
              <c:f>'Pivot 3&amp;4'!$B$3</c:f>
              <c:strCache>
                <c:ptCount val="1"/>
                <c:pt idx="0">
                  <c:v>Total</c:v>
                </c:pt>
              </c:strCache>
            </c:strRef>
          </c:tx>
          <c:dPt>
            <c:idx val="0"/>
            <c:bubble3D val="0"/>
            <c:spPr>
              <a:solidFill>
                <a:schemeClr val="accent2">
                  <a:tint val="58000"/>
                </a:schemeClr>
              </a:solidFill>
              <a:ln w="19050">
                <a:solidFill>
                  <a:schemeClr val="lt1"/>
                </a:solidFill>
              </a:ln>
              <a:effectLst/>
            </c:spPr>
            <c:extLst>
              <c:ext xmlns:c16="http://schemas.microsoft.com/office/drawing/2014/chart" uri="{C3380CC4-5D6E-409C-BE32-E72D297353CC}">
                <c16:uniqueId val="{00000001-3A97-4117-9583-AF835A3E8FC6}"/>
              </c:ext>
            </c:extLst>
          </c:dPt>
          <c:dPt>
            <c:idx val="1"/>
            <c:bubble3D val="0"/>
            <c:spPr>
              <a:solidFill>
                <a:schemeClr val="accent2">
                  <a:tint val="86000"/>
                </a:schemeClr>
              </a:solidFill>
              <a:ln w="19050">
                <a:solidFill>
                  <a:schemeClr val="lt1"/>
                </a:solidFill>
              </a:ln>
              <a:effectLst/>
            </c:spPr>
            <c:extLst>
              <c:ext xmlns:c16="http://schemas.microsoft.com/office/drawing/2014/chart" uri="{C3380CC4-5D6E-409C-BE32-E72D297353CC}">
                <c16:uniqueId val="{00000003-3A97-4117-9583-AF835A3E8FC6}"/>
              </c:ext>
            </c:extLst>
          </c:dPt>
          <c:dPt>
            <c:idx val="2"/>
            <c:bubble3D val="0"/>
            <c:spPr>
              <a:solidFill>
                <a:schemeClr val="accent2">
                  <a:shade val="86000"/>
                </a:schemeClr>
              </a:solidFill>
              <a:ln w="19050">
                <a:solidFill>
                  <a:schemeClr val="lt1"/>
                </a:solidFill>
              </a:ln>
              <a:effectLst/>
            </c:spPr>
            <c:extLst>
              <c:ext xmlns:c16="http://schemas.microsoft.com/office/drawing/2014/chart" uri="{C3380CC4-5D6E-409C-BE32-E72D297353CC}">
                <c16:uniqueId val="{00000005-3A97-4117-9583-AF835A3E8FC6}"/>
              </c:ext>
            </c:extLst>
          </c:dPt>
          <c:dPt>
            <c:idx val="3"/>
            <c:bubble3D val="0"/>
            <c:spPr>
              <a:solidFill>
                <a:schemeClr val="accent2">
                  <a:shade val="58000"/>
                </a:schemeClr>
              </a:solidFill>
              <a:ln w="19050">
                <a:solidFill>
                  <a:schemeClr val="lt1"/>
                </a:solidFill>
              </a:ln>
              <a:effectLst/>
            </c:spPr>
            <c:extLst>
              <c:ext xmlns:c16="http://schemas.microsoft.com/office/drawing/2014/chart" uri="{C3380CC4-5D6E-409C-BE32-E72D297353CC}">
                <c16:uniqueId val="{00000007-3A97-4117-9583-AF835A3E8FC6}"/>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3&amp;4'!$A$4:$A$8</c:f>
              <c:strCache>
                <c:ptCount val="4"/>
                <c:pt idx="0">
                  <c:v>Bank Transfer</c:v>
                </c:pt>
                <c:pt idx="1">
                  <c:v>Cash</c:v>
                </c:pt>
                <c:pt idx="2">
                  <c:v>Credit Card</c:v>
                </c:pt>
                <c:pt idx="3">
                  <c:v>Online</c:v>
                </c:pt>
              </c:strCache>
            </c:strRef>
          </c:cat>
          <c:val>
            <c:numRef>
              <c:f>'Pivot 3&amp;4'!$B$4:$B$8</c:f>
              <c:numCache>
                <c:formatCode>General</c:formatCode>
                <c:ptCount val="4"/>
                <c:pt idx="0">
                  <c:v>283</c:v>
                </c:pt>
                <c:pt idx="1">
                  <c:v>305</c:v>
                </c:pt>
                <c:pt idx="2">
                  <c:v>308</c:v>
                </c:pt>
                <c:pt idx="3">
                  <c:v>304</c:v>
                </c:pt>
              </c:numCache>
            </c:numRef>
          </c:val>
          <c:extLst>
            <c:ext xmlns:c16="http://schemas.microsoft.com/office/drawing/2014/chart" uri="{C3380CC4-5D6E-409C-BE32-E72D297353CC}">
              <c16:uniqueId val="{00000008-3A97-4117-9583-AF835A3E8FC6}"/>
            </c:ext>
          </c:extLst>
        </c:ser>
        <c:dLbls>
          <c:dLblPos val="bestFit"/>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[Retail_Chocolate_Sales_India_Global.xlsx]Pivot 1&amp;2!PivotTable2</c:name>
    <c:fmtId val="3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Sales</a:t>
            </a:r>
            <a:r>
              <a:rPr lang="en-US" sz="1600" baseline="0"/>
              <a:t> By Category</a:t>
            </a:r>
          </a:p>
        </c:rich>
      </c:tx>
      <c:overlay val="0"/>
      <c:spPr>
        <a:solidFill>
          <a:schemeClr val="accent6">
            <a:lumMod val="40000"/>
            <a:lumOff val="60000"/>
          </a:schemeClr>
        </a:solid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0">
                <a:srgbClr val="C00000"/>
              </a:gs>
              <a:gs pos="100000">
                <a:schemeClr val="accent6">
                  <a:lumMod val="60000"/>
                  <a:lumOff val="40000"/>
                </a:schemeClr>
              </a:gs>
            </a:gsLst>
            <a:lin ang="162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sng"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rgbClr val="C00000"/>
              </a:gs>
              <a:gs pos="100000">
                <a:schemeClr val="accent6">
                  <a:lumMod val="60000"/>
                  <a:lumOff val="40000"/>
                </a:schemeClr>
              </a:gs>
            </a:gsLst>
            <a:lin ang="162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sng"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C00000"/>
              </a:gs>
              <a:gs pos="100000">
                <a:schemeClr val="accent6">
                  <a:lumMod val="60000"/>
                  <a:lumOff val="40000"/>
                </a:schemeClr>
              </a:gs>
            </a:gsLst>
            <a:lin ang="162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sng"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1&amp;2'!$B$26</c:f>
              <c:strCache>
                <c:ptCount val="1"/>
                <c:pt idx="0">
                  <c:v>Total</c:v>
                </c:pt>
              </c:strCache>
            </c:strRef>
          </c:tx>
          <c:spPr>
            <a:gradFill>
              <a:gsLst>
                <a:gs pos="0">
                  <a:srgbClr val="C00000"/>
                </a:gs>
                <a:gs pos="100000">
                  <a:schemeClr val="accent6">
                    <a:lumMod val="60000"/>
                    <a:lumOff val="40000"/>
                  </a:schemeClr>
                </a:gs>
              </a:gsLst>
              <a:lin ang="162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sng"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1&amp;2'!$A$27:$A$32</c:f>
              <c:strCache>
                <c:ptCount val="5"/>
                <c:pt idx="0">
                  <c:v>Milk Chocolate</c:v>
                </c:pt>
                <c:pt idx="1">
                  <c:v>White Chocolate</c:v>
                </c:pt>
                <c:pt idx="2">
                  <c:v>Nutty Delight</c:v>
                </c:pt>
                <c:pt idx="3">
                  <c:v>Dark Chocolate</c:v>
                </c:pt>
                <c:pt idx="4">
                  <c:v>Premium Truffle</c:v>
                </c:pt>
              </c:strCache>
            </c:strRef>
          </c:cat>
          <c:val>
            <c:numRef>
              <c:f>'Pivot 1&amp;2'!$B$27:$B$32</c:f>
              <c:numCache>
                <c:formatCode>"₹"\ #,##0</c:formatCode>
                <c:ptCount val="5"/>
                <c:pt idx="0">
                  <c:v>18002806</c:v>
                </c:pt>
                <c:pt idx="1">
                  <c:v>17600560</c:v>
                </c:pt>
                <c:pt idx="2">
                  <c:v>16592923</c:v>
                </c:pt>
                <c:pt idx="3">
                  <c:v>15674137</c:v>
                </c:pt>
                <c:pt idx="4">
                  <c:v>15282226</c:v>
                </c:pt>
              </c:numCache>
            </c:numRef>
          </c:val>
          <c:extLst>
            <c:ext xmlns:c16="http://schemas.microsoft.com/office/drawing/2014/chart" uri="{C3380CC4-5D6E-409C-BE32-E72D297353CC}">
              <c16:uniqueId val="{00000000-B90B-4782-BB61-84B9D663B6D9}"/>
            </c:ext>
          </c:extLst>
        </c:ser>
        <c:dLbls>
          <c:dLblPos val="outEnd"/>
          <c:showLegendKey val="0"/>
          <c:showVal val="1"/>
          <c:showCatName val="0"/>
          <c:showSerName val="0"/>
          <c:showPercent val="0"/>
          <c:showBubbleSize val="0"/>
        </c:dLbls>
        <c:gapWidth val="70"/>
        <c:axId val="1824087152"/>
        <c:axId val="1824090032"/>
      </c:barChart>
      <c:catAx>
        <c:axId val="18240871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1" u="sng" strike="noStrike" kern="1200" baseline="0">
                <a:solidFill>
                  <a:schemeClr val="tx1">
                    <a:lumMod val="65000"/>
                    <a:lumOff val="35000"/>
                  </a:schemeClr>
                </a:solidFill>
                <a:latin typeface="+mn-lt"/>
                <a:ea typeface="+mn-ea"/>
                <a:cs typeface="+mn-cs"/>
              </a:defRPr>
            </a:pPr>
            <a:endParaRPr lang="en-US"/>
          </a:p>
        </c:txPr>
        <c:crossAx val="1824090032"/>
        <c:crosses val="autoZero"/>
        <c:auto val="1"/>
        <c:lblAlgn val="ctr"/>
        <c:lblOffset val="100"/>
        <c:noMultiLvlLbl val="0"/>
      </c:catAx>
      <c:valAx>
        <c:axId val="1824090032"/>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2408715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[Retail_Chocolate_Sales_India_Global.xlsx]Pivot 3&amp;4!PivotTable4</c:name>
    <c:fmtId val="3"/>
  </c:pivotSource>
  <c:chart>
    <c:title>
      <c:tx>
        <c:rich>
          <a:bodyPr rot="0" spcFirstLastPara="1" vertOverflow="ellipsis" vert="horz" wrap="square" anchor="ctr" anchorCtr="1"/>
          <a:lstStyle/>
          <a:p>
            <a:pPr>
              <a:defRPr sz="1600" b="1" i="0" u="none" strike="noStrike" kern="1200" cap="all" spc="100" normalizeH="0" baseline="0">
                <a:solidFill>
                  <a:schemeClr val="lt1"/>
                </a:solidFill>
                <a:latin typeface="+mn-lt"/>
                <a:ea typeface="+mn-ea"/>
                <a:cs typeface="+mn-cs"/>
              </a:defRPr>
            </a:pPr>
            <a:r>
              <a:rPr lang="en-US" sz="1600" b="1"/>
              <a:t>yearly</a:t>
            </a:r>
            <a:r>
              <a:rPr lang="en-US" sz="1600" b="1" baseline="0"/>
              <a:t> s</a:t>
            </a:r>
            <a:r>
              <a:rPr lang="en-US" sz="1600" b="1"/>
              <a:t>ales</a:t>
            </a:r>
            <a:r>
              <a:rPr lang="en-US" sz="1600" b="1" baseline="0"/>
              <a:t> trend</a:t>
            </a:r>
            <a:endParaRPr lang="en-US" sz="1600" b="1"/>
          </a:p>
        </c:rich>
      </c:tx>
      <c:overlay val="0"/>
      <c:spPr>
        <a:solidFill>
          <a:schemeClr val="accent2"/>
        </a:solidFill>
        <a:ln>
          <a:noFill/>
        </a:ln>
        <a:effectLst/>
      </c:spPr>
      <c:txPr>
        <a:bodyPr rot="0" spcFirstLastPara="1" vertOverflow="ellipsis" vert="horz" wrap="square" anchor="ctr" anchorCtr="1"/>
        <a:lstStyle/>
        <a:p>
          <a:pPr>
            <a:defRPr sz="16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3&amp;4'!$C$26</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3&amp;4'!$B$27:$B$31</c:f>
              <c:strCache>
                <c:ptCount val="4"/>
                <c:pt idx="0">
                  <c:v>2024</c:v>
                </c:pt>
                <c:pt idx="1">
                  <c:v>2025</c:v>
                </c:pt>
                <c:pt idx="2">
                  <c:v>2026</c:v>
                </c:pt>
                <c:pt idx="3">
                  <c:v>2027</c:v>
                </c:pt>
              </c:strCache>
            </c:strRef>
          </c:cat>
          <c:val>
            <c:numRef>
              <c:f>'Pivot 3&amp;4'!$C$27:$C$31</c:f>
              <c:numCache>
                <c:formatCode>"₹"\ #,##0</c:formatCode>
                <c:ptCount val="4"/>
                <c:pt idx="0">
                  <c:v>10280231</c:v>
                </c:pt>
                <c:pt idx="1">
                  <c:v>26250918</c:v>
                </c:pt>
                <c:pt idx="2">
                  <c:v>23535231</c:v>
                </c:pt>
                <c:pt idx="3">
                  <c:v>23086272</c:v>
                </c:pt>
              </c:numCache>
            </c:numRef>
          </c:val>
          <c:smooth val="0"/>
          <c:extLst>
            <c:ext xmlns:c16="http://schemas.microsoft.com/office/drawing/2014/chart" uri="{C3380CC4-5D6E-409C-BE32-E72D297353CC}">
              <c16:uniqueId val="{00000000-A862-43A8-BB9C-D6A38298052A}"/>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839040400"/>
        <c:axId val="1839041840"/>
      </c:lineChart>
      <c:catAx>
        <c:axId val="18390404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839041840"/>
        <c:crosses val="autoZero"/>
        <c:auto val="1"/>
        <c:lblAlgn val="ctr"/>
        <c:lblOffset val="100"/>
        <c:noMultiLvlLbl val="0"/>
      </c:catAx>
      <c:valAx>
        <c:axId val="1839041840"/>
        <c:scaling>
          <c:orientation val="minMax"/>
        </c:scaling>
        <c:delete val="1"/>
        <c:axPos val="l"/>
        <c:numFmt formatCode="&quot;₹&quot;\ #,##0" sourceLinked="1"/>
        <c:majorTickMark val="none"/>
        <c:minorTickMark val="none"/>
        <c:tickLblPos val="nextTo"/>
        <c:crossAx val="1839040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C00000"/>
        </a:gs>
        <a:gs pos="100000">
          <a:schemeClr val="accent6">
            <a:lumMod val="60000"/>
            <a:lumOff val="40000"/>
          </a:schemeClr>
        </a:gs>
      </a:gsLst>
      <a:lin ang="16200000" scaled="1"/>
    </a:gra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3.xml"/><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4.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107950</xdr:colOff>
      <xdr:row>7</xdr:row>
      <xdr:rowOff>63500</xdr:rowOff>
    </xdr:from>
    <xdr:to>
      <xdr:col>9</xdr:col>
      <xdr:colOff>711200</xdr:colOff>
      <xdr:row>22</xdr:row>
      <xdr:rowOff>63500</xdr:rowOff>
    </xdr:to>
    <xdr:graphicFrame macro="">
      <xdr:nvGraphicFramePr>
        <xdr:cNvPr id="2" name="Chart 1">
          <a:extLst>
            <a:ext uri="{FF2B5EF4-FFF2-40B4-BE49-F238E27FC236}">
              <a16:creationId xmlns:a16="http://schemas.microsoft.com/office/drawing/2014/main" id="{1D547A00-0157-4BF1-8A51-ABE0AFAC6D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717550</xdr:colOff>
      <xdr:row>24</xdr:row>
      <xdr:rowOff>50800</xdr:rowOff>
    </xdr:from>
    <xdr:to>
      <xdr:col>11</xdr:col>
      <xdr:colOff>6350</xdr:colOff>
      <xdr:row>38</xdr:row>
      <xdr:rowOff>171450</xdr:rowOff>
    </xdr:to>
    <xdr:graphicFrame macro="">
      <xdr:nvGraphicFramePr>
        <xdr:cNvPr id="4" name="Chart 3">
          <a:extLst>
            <a:ext uri="{FF2B5EF4-FFF2-40B4-BE49-F238E27FC236}">
              <a16:creationId xmlns:a16="http://schemas.microsoft.com/office/drawing/2014/main" id="{8635F9F9-52ED-458B-A713-6B3EB5D079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12700</xdr:colOff>
      <xdr:row>24</xdr:row>
      <xdr:rowOff>6350</xdr:rowOff>
    </xdr:from>
    <xdr:to>
      <xdr:col>7</xdr:col>
      <xdr:colOff>717550</xdr:colOff>
      <xdr:row>38</xdr:row>
      <xdr:rowOff>171450</xdr:rowOff>
    </xdr:to>
    <xdr:graphicFrame macro="">
      <xdr:nvGraphicFramePr>
        <xdr:cNvPr id="3" name="Chart 2">
          <a:extLst>
            <a:ext uri="{FF2B5EF4-FFF2-40B4-BE49-F238E27FC236}">
              <a16:creationId xmlns:a16="http://schemas.microsoft.com/office/drawing/2014/main" id="{0E9226EC-9650-4A09-93ED-20AE47A2A8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42</xdr:row>
      <xdr:rowOff>0</xdr:rowOff>
    </xdr:from>
    <xdr:to>
      <xdr:col>7</xdr:col>
      <xdr:colOff>1117600</xdr:colOff>
      <xdr:row>56</xdr:row>
      <xdr:rowOff>165100</xdr:rowOff>
    </xdr:to>
    <xdr:graphicFrame macro="">
      <xdr:nvGraphicFramePr>
        <xdr:cNvPr id="5" name="Chart 4">
          <a:extLst>
            <a:ext uri="{FF2B5EF4-FFF2-40B4-BE49-F238E27FC236}">
              <a16:creationId xmlns:a16="http://schemas.microsoft.com/office/drawing/2014/main" id="{D2768DE6-455C-49E0-B368-0DE71B81FF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609600</xdr:colOff>
      <xdr:row>14</xdr:row>
      <xdr:rowOff>76201</xdr:rowOff>
    </xdr:from>
    <xdr:to>
      <xdr:col>10</xdr:col>
      <xdr:colOff>368300</xdr:colOff>
      <xdr:row>21</xdr:row>
      <xdr:rowOff>139700</xdr:rowOff>
    </xdr:to>
    <mc:AlternateContent xmlns:mc="http://schemas.openxmlformats.org/markup-compatibility/2006" xmlns:a14="http://schemas.microsoft.com/office/drawing/2010/main">
      <mc:Choice Requires="a14">
        <xdr:graphicFrame macro="">
          <xdr:nvGraphicFramePr>
            <xdr:cNvPr id="7" name="Salesperson">
              <a:extLst>
                <a:ext uri="{FF2B5EF4-FFF2-40B4-BE49-F238E27FC236}">
                  <a16:creationId xmlns:a16="http://schemas.microsoft.com/office/drawing/2014/main" id="{5FC1EB99-9E94-6E09-3649-44D3AC607249}"/>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6083300" y="3092451"/>
              <a:ext cx="1193800" cy="13525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361950</xdr:colOff>
      <xdr:row>6</xdr:row>
      <xdr:rowOff>158750</xdr:rowOff>
    </xdr:from>
    <xdr:to>
      <xdr:col>10</xdr:col>
      <xdr:colOff>1435100</xdr:colOff>
      <xdr:row>14</xdr:row>
      <xdr:rowOff>50799</xdr:rowOff>
    </xdr:to>
    <mc:AlternateContent xmlns:mc="http://schemas.openxmlformats.org/markup-compatibility/2006" xmlns:a14="http://schemas.microsoft.com/office/drawing/2010/main">
      <mc:Choice Requires="a14">
        <xdr:graphicFrame macro="">
          <xdr:nvGraphicFramePr>
            <xdr:cNvPr id="8" name="Country">
              <a:extLst>
                <a:ext uri="{FF2B5EF4-FFF2-40B4-BE49-F238E27FC236}">
                  <a16:creationId xmlns:a16="http://schemas.microsoft.com/office/drawing/2014/main" id="{D92795A4-9047-AFF1-84C4-0BDB6D24F52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7270750" y="1701800"/>
              <a:ext cx="1073150" cy="1384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609600</xdr:colOff>
      <xdr:row>6</xdr:row>
      <xdr:rowOff>165101</xdr:rowOff>
    </xdr:from>
    <xdr:to>
      <xdr:col>10</xdr:col>
      <xdr:colOff>355600</xdr:colOff>
      <xdr:row>14</xdr:row>
      <xdr:rowOff>69851</xdr:rowOff>
    </xdr:to>
    <mc:AlternateContent xmlns:mc="http://schemas.openxmlformats.org/markup-compatibility/2006" xmlns:a14="http://schemas.microsoft.com/office/drawing/2010/main">
      <mc:Choice Requires="a14">
        <xdr:graphicFrame macro="">
          <xdr:nvGraphicFramePr>
            <xdr:cNvPr id="9" name="Product Category">
              <a:extLst>
                <a:ext uri="{FF2B5EF4-FFF2-40B4-BE49-F238E27FC236}">
                  <a16:creationId xmlns:a16="http://schemas.microsoft.com/office/drawing/2014/main" id="{54CC6D6F-EC1D-13B4-77FA-1529E85B7663}"/>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6083300" y="1708151"/>
              <a:ext cx="1181100" cy="139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361950</xdr:colOff>
      <xdr:row>14</xdr:row>
      <xdr:rowOff>69851</xdr:rowOff>
    </xdr:from>
    <xdr:to>
      <xdr:col>10</xdr:col>
      <xdr:colOff>1447800</xdr:colOff>
      <xdr:row>21</xdr:row>
      <xdr:rowOff>120650</xdr:rowOff>
    </xdr:to>
    <mc:AlternateContent xmlns:mc="http://schemas.openxmlformats.org/markup-compatibility/2006" xmlns:a14="http://schemas.microsoft.com/office/drawing/2010/main">
      <mc:Choice Requires="a14">
        <xdr:graphicFrame macro="">
          <xdr:nvGraphicFramePr>
            <xdr:cNvPr id="10" name="Years (Order Date)">
              <a:extLst>
                <a:ext uri="{FF2B5EF4-FFF2-40B4-BE49-F238E27FC236}">
                  <a16:creationId xmlns:a16="http://schemas.microsoft.com/office/drawing/2014/main" id="{E92D4E98-C4C0-16BD-F300-11F46D9F0377}"/>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7270750" y="3086101"/>
              <a:ext cx="1085850" cy="13398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50800</xdr:colOff>
      <xdr:row>4</xdr:row>
      <xdr:rowOff>6350</xdr:rowOff>
    </xdr:from>
    <xdr:to>
      <xdr:col>5</xdr:col>
      <xdr:colOff>95250</xdr:colOff>
      <xdr:row>6</xdr:row>
      <xdr:rowOff>101600</xdr:rowOff>
    </xdr:to>
    <xdr:sp macro="" textlink="'Raw Data'!K1203">
      <xdr:nvSpPr>
        <xdr:cNvPr id="6" name="Rectangle: Rounded Corners 5">
          <a:extLst>
            <a:ext uri="{FF2B5EF4-FFF2-40B4-BE49-F238E27FC236}">
              <a16:creationId xmlns:a16="http://schemas.microsoft.com/office/drawing/2014/main" id="{2A77BFE2-4116-0C96-9474-744EA36042A7}"/>
            </a:ext>
          </a:extLst>
        </xdr:cNvPr>
        <xdr:cNvSpPr/>
      </xdr:nvSpPr>
      <xdr:spPr>
        <a:xfrm>
          <a:off x="381000" y="730250"/>
          <a:ext cx="1676400" cy="914400"/>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b"/>
        <a:lstStyle/>
        <a:p>
          <a:pPr algn="ctr"/>
          <a:fld id="{6CB3C4E8-72E5-4E28-BF3A-06E197E0DE77}" type="TxLink">
            <a:rPr lang="en-US" sz="1800" b="1" i="0" u="none" strike="noStrike" baseline="0">
              <a:solidFill>
                <a:srgbClr val="000000"/>
              </a:solidFill>
              <a:latin typeface="Aptos" panose="020B0004020202020204" pitchFamily="34" charset="0"/>
              <a:ea typeface="Calibri"/>
              <a:cs typeface="Calibri"/>
            </a:rPr>
            <a:pPr algn="ctr"/>
            <a:t>₹ 8,31,52,652</a:t>
          </a:fld>
          <a:endParaRPr lang="en-IN" sz="1800" b="1" baseline="0">
            <a:solidFill>
              <a:schemeClr val="tx1"/>
            </a:solidFill>
            <a:latin typeface="Aptos" panose="020B0004020202020204" pitchFamily="34" charset="0"/>
          </a:endParaRPr>
        </a:p>
      </xdr:txBody>
    </xdr:sp>
    <xdr:clientData/>
  </xdr:twoCellAnchor>
  <xdr:twoCellAnchor>
    <xdr:from>
      <xdr:col>5</xdr:col>
      <xdr:colOff>412750</xdr:colOff>
      <xdr:row>4</xdr:row>
      <xdr:rowOff>6350</xdr:rowOff>
    </xdr:from>
    <xdr:to>
      <xdr:col>7</xdr:col>
      <xdr:colOff>266700</xdr:colOff>
      <xdr:row>6</xdr:row>
      <xdr:rowOff>101600</xdr:rowOff>
    </xdr:to>
    <xdr:sp macro="" textlink="'Raw Data'!I1203">
      <xdr:nvSpPr>
        <xdr:cNvPr id="11" name="Rectangle: Rounded Corners 10">
          <a:extLst>
            <a:ext uri="{FF2B5EF4-FFF2-40B4-BE49-F238E27FC236}">
              <a16:creationId xmlns:a16="http://schemas.microsoft.com/office/drawing/2014/main" id="{0261880B-4243-4A54-AA11-CBF7073A87D7}"/>
            </a:ext>
          </a:extLst>
        </xdr:cNvPr>
        <xdr:cNvSpPr/>
      </xdr:nvSpPr>
      <xdr:spPr>
        <a:xfrm>
          <a:off x="2374900" y="730250"/>
          <a:ext cx="1676400" cy="914400"/>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b"/>
        <a:lstStyle/>
        <a:p>
          <a:pPr algn="ctr"/>
          <a:fld id="{FF4132A7-7BDB-4629-9C50-E48897301D9A}" type="TxLink">
            <a:rPr lang="en-US" sz="1800" b="1" i="0" u="none" strike="noStrike">
              <a:solidFill>
                <a:srgbClr val="000000"/>
              </a:solidFill>
              <a:latin typeface="Aptos" panose="020B0004020202020204" pitchFamily="34" charset="0"/>
              <a:ea typeface="Calibri"/>
              <a:cs typeface="Calibri"/>
            </a:rPr>
            <a:pPr algn="ctr"/>
            <a:t>3,10,951</a:t>
          </a:fld>
          <a:endParaRPr lang="en-IN" sz="1800" b="1">
            <a:latin typeface="Aptos" panose="020B0004020202020204" pitchFamily="34" charset="0"/>
          </a:endParaRPr>
        </a:p>
      </xdr:txBody>
    </xdr:sp>
    <xdr:clientData/>
  </xdr:twoCellAnchor>
  <xdr:twoCellAnchor>
    <xdr:from>
      <xdr:col>7</xdr:col>
      <xdr:colOff>527050</xdr:colOff>
      <xdr:row>4</xdr:row>
      <xdr:rowOff>19050</xdr:rowOff>
    </xdr:from>
    <xdr:to>
      <xdr:col>9</xdr:col>
      <xdr:colOff>514350</xdr:colOff>
      <xdr:row>6</xdr:row>
      <xdr:rowOff>114300</xdr:rowOff>
    </xdr:to>
    <xdr:sp macro="" textlink="'Raw Data'!A1203">
      <xdr:nvSpPr>
        <xdr:cNvPr id="12" name="Rectangle: Rounded Corners 11">
          <a:extLst>
            <a:ext uri="{FF2B5EF4-FFF2-40B4-BE49-F238E27FC236}">
              <a16:creationId xmlns:a16="http://schemas.microsoft.com/office/drawing/2014/main" id="{61664596-CF44-48FA-89A4-97773AB64D89}"/>
            </a:ext>
          </a:extLst>
        </xdr:cNvPr>
        <xdr:cNvSpPr/>
      </xdr:nvSpPr>
      <xdr:spPr>
        <a:xfrm>
          <a:off x="4311650" y="742950"/>
          <a:ext cx="1676400" cy="914400"/>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b"/>
        <a:lstStyle/>
        <a:p>
          <a:pPr algn="ctr"/>
          <a:fld id="{A6841684-903E-4D4A-BB4C-18F9AF110A4F}" type="TxLink">
            <a:rPr lang="en-US" sz="1800" b="1" i="0" u="none" strike="noStrike">
              <a:solidFill>
                <a:srgbClr val="000000"/>
              </a:solidFill>
              <a:latin typeface="Aptos" panose="020B0004020202020204" pitchFamily="34" charset="0"/>
              <a:ea typeface="Calibri"/>
              <a:cs typeface="Calibri"/>
            </a:rPr>
            <a:pPr algn="ctr"/>
            <a:t>1,200</a:t>
          </a:fld>
          <a:endParaRPr lang="en-IN" sz="1800" b="1">
            <a:latin typeface="Aptos" panose="020B0004020202020204" pitchFamily="34" charset="0"/>
          </a:endParaRPr>
        </a:p>
      </xdr:txBody>
    </xdr:sp>
    <xdr:clientData/>
  </xdr:twoCellAnchor>
  <xdr:twoCellAnchor>
    <xdr:from>
      <xdr:col>9</xdr:col>
      <xdr:colOff>914400</xdr:colOff>
      <xdr:row>4</xdr:row>
      <xdr:rowOff>19050</xdr:rowOff>
    </xdr:from>
    <xdr:to>
      <xdr:col>10</xdr:col>
      <xdr:colOff>1155700</xdr:colOff>
      <xdr:row>6</xdr:row>
      <xdr:rowOff>114300</xdr:rowOff>
    </xdr:to>
    <xdr:sp macro="" textlink="'Raw Data'!C1203">
      <xdr:nvSpPr>
        <xdr:cNvPr id="13" name="Rectangle: Rounded Corners 12">
          <a:extLst>
            <a:ext uri="{FF2B5EF4-FFF2-40B4-BE49-F238E27FC236}">
              <a16:creationId xmlns:a16="http://schemas.microsoft.com/office/drawing/2014/main" id="{FF78C2A7-C710-4D8B-BBAB-43AEE8EB43F7}"/>
            </a:ext>
          </a:extLst>
        </xdr:cNvPr>
        <xdr:cNvSpPr/>
      </xdr:nvSpPr>
      <xdr:spPr>
        <a:xfrm>
          <a:off x="6388100" y="742950"/>
          <a:ext cx="1676400" cy="914400"/>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b"/>
        <a:lstStyle/>
        <a:p>
          <a:pPr algn="ctr"/>
          <a:fld id="{B3BCCBF5-D17D-4295-B2D7-2D341680C1D1}" type="TxLink">
            <a:rPr lang="en-US" sz="1800" b="1" i="0" u="none" strike="noStrike">
              <a:solidFill>
                <a:srgbClr val="000000"/>
              </a:solidFill>
              <a:latin typeface="Aptos" panose="020B0004020202020204" pitchFamily="34" charset="0"/>
              <a:ea typeface="Calibri"/>
              <a:cs typeface="Calibri"/>
            </a:rPr>
            <a:pPr algn="ctr"/>
            <a:t>7</a:t>
          </a:fld>
          <a:endParaRPr lang="en-IN" sz="1800" b="1">
            <a:latin typeface="Aptos" panose="020B0004020202020204" pitchFamily="34" charset="0"/>
          </a:endParaRPr>
        </a:p>
      </xdr:txBody>
    </xdr:sp>
    <xdr:clientData/>
  </xdr:twoCellAnchor>
  <xdr:twoCellAnchor editAs="oneCell">
    <xdr:from>
      <xdr:col>7</xdr:col>
      <xdr:colOff>552450</xdr:colOff>
      <xdr:row>4</xdr:row>
      <xdr:rowOff>38100</xdr:rowOff>
    </xdr:from>
    <xdr:to>
      <xdr:col>7</xdr:col>
      <xdr:colOff>844550</xdr:colOff>
      <xdr:row>5</xdr:row>
      <xdr:rowOff>82550</xdr:rowOff>
    </xdr:to>
    <xdr:pic>
      <xdr:nvPicPr>
        <xdr:cNvPr id="15" name="Graphic 14" descr="Truck with solid fill">
          <a:extLst>
            <a:ext uri="{FF2B5EF4-FFF2-40B4-BE49-F238E27FC236}">
              <a16:creationId xmlns:a16="http://schemas.microsoft.com/office/drawing/2014/main" id="{4C64C405-58C6-455D-A850-F2D2613FCD6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337050" y="762000"/>
          <a:ext cx="292100" cy="393700"/>
        </a:xfrm>
        <a:prstGeom prst="rect">
          <a:avLst/>
        </a:prstGeom>
      </xdr:spPr>
    </xdr:pic>
    <xdr:clientData/>
  </xdr:twoCellAnchor>
  <xdr:twoCellAnchor editAs="oneCell">
    <xdr:from>
      <xdr:col>9</xdr:col>
      <xdr:colOff>920750</xdr:colOff>
      <xdr:row>4</xdr:row>
      <xdr:rowOff>143650</xdr:rowOff>
    </xdr:from>
    <xdr:to>
      <xdr:col>9</xdr:col>
      <xdr:colOff>1301750</xdr:colOff>
      <xdr:row>5</xdr:row>
      <xdr:rowOff>152400</xdr:rowOff>
    </xdr:to>
    <xdr:pic>
      <xdr:nvPicPr>
        <xdr:cNvPr id="17" name="Graphic 16" descr="Earth globe: Americas with solid fill">
          <a:extLst>
            <a:ext uri="{FF2B5EF4-FFF2-40B4-BE49-F238E27FC236}">
              <a16:creationId xmlns:a16="http://schemas.microsoft.com/office/drawing/2014/main" id="{226BA174-F311-E2AB-182C-D695D563F9E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394450" y="867550"/>
          <a:ext cx="381000" cy="358000"/>
        </a:xfrm>
        <a:prstGeom prst="rect">
          <a:avLst/>
        </a:prstGeom>
      </xdr:spPr>
    </xdr:pic>
    <xdr:clientData/>
  </xdr:twoCellAnchor>
  <xdr:twoCellAnchor editAs="oneCell">
    <xdr:from>
      <xdr:col>5</xdr:col>
      <xdr:colOff>465100</xdr:colOff>
      <xdr:row>4</xdr:row>
      <xdr:rowOff>52350</xdr:rowOff>
    </xdr:from>
    <xdr:to>
      <xdr:col>5</xdr:col>
      <xdr:colOff>742950</xdr:colOff>
      <xdr:row>5</xdr:row>
      <xdr:rowOff>6350</xdr:rowOff>
    </xdr:to>
    <xdr:pic>
      <xdr:nvPicPr>
        <xdr:cNvPr id="19" name="Graphic 18" descr="Checklist with solid fill">
          <a:extLst>
            <a:ext uri="{FF2B5EF4-FFF2-40B4-BE49-F238E27FC236}">
              <a16:creationId xmlns:a16="http://schemas.microsoft.com/office/drawing/2014/main" id="{E0A8EEED-4233-DA9E-99E9-64A5A2973F2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427250" y="776250"/>
          <a:ext cx="277850" cy="303250"/>
        </a:xfrm>
        <a:prstGeom prst="rect">
          <a:avLst/>
        </a:prstGeom>
      </xdr:spPr>
    </xdr:pic>
    <xdr:clientData/>
  </xdr:twoCellAnchor>
  <xdr:twoCellAnchor editAs="oneCell">
    <xdr:from>
      <xdr:col>3</xdr:col>
      <xdr:colOff>81700</xdr:colOff>
      <xdr:row>4</xdr:row>
      <xdr:rowOff>25400</xdr:rowOff>
    </xdr:from>
    <xdr:to>
      <xdr:col>3</xdr:col>
      <xdr:colOff>431800</xdr:colOff>
      <xdr:row>5</xdr:row>
      <xdr:rowOff>57150</xdr:rowOff>
    </xdr:to>
    <xdr:pic>
      <xdr:nvPicPr>
        <xdr:cNvPr id="21" name="Graphic 20" descr="Money with solid fill">
          <a:extLst>
            <a:ext uri="{FF2B5EF4-FFF2-40B4-BE49-F238E27FC236}">
              <a16:creationId xmlns:a16="http://schemas.microsoft.com/office/drawing/2014/main" id="{730C9041-578B-66C8-6610-8EC4629770A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11900" y="749300"/>
          <a:ext cx="350100" cy="381000"/>
        </a:xfrm>
        <a:prstGeom prst="rect">
          <a:avLst/>
        </a:prstGeom>
      </xdr:spPr>
    </xdr:pic>
    <xdr:clientData/>
  </xdr:twoCellAnchor>
  <xdr:oneCellAnchor>
    <xdr:from>
      <xdr:col>3</xdr:col>
      <xdr:colOff>177800</xdr:colOff>
      <xdr:row>4</xdr:row>
      <xdr:rowOff>247650</xdr:rowOff>
    </xdr:from>
    <xdr:ext cx="184731" cy="264560"/>
    <xdr:sp macro="" textlink="">
      <xdr:nvSpPr>
        <xdr:cNvPr id="14" name="TextBox 13">
          <a:extLst>
            <a:ext uri="{FF2B5EF4-FFF2-40B4-BE49-F238E27FC236}">
              <a16:creationId xmlns:a16="http://schemas.microsoft.com/office/drawing/2014/main" id="{9B6C0737-8F6F-2E02-745A-3C6D189B41F0}"/>
            </a:ext>
          </a:extLst>
        </xdr:cNvPr>
        <xdr:cNvSpPr txBox="1"/>
      </xdr:nvSpPr>
      <xdr:spPr>
        <a:xfrm>
          <a:off x="508000" y="97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3</xdr:col>
      <xdr:colOff>120650</xdr:colOff>
      <xdr:row>4</xdr:row>
      <xdr:rowOff>82550</xdr:rowOff>
    </xdr:from>
    <xdr:ext cx="1574800" cy="387696"/>
    <xdr:sp macro="" textlink="">
      <xdr:nvSpPr>
        <xdr:cNvPr id="16" name="TextBox 15">
          <a:extLst>
            <a:ext uri="{FF2B5EF4-FFF2-40B4-BE49-F238E27FC236}">
              <a16:creationId xmlns:a16="http://schemas.microsoft.com/office/drawing/2014/main" id="{44C0549B-554E-2247-A7BF-29F48689CFD4}"/>
            </a:ext>
          </a:extLst>
        </xdr:cNvPr>
        <xdr:cNvSpPr txBox="1"/>
      </xdr:nvSpPr>
      <xdr:spPr>
        <a:xfrm>
          <a:off x="450850" y="806450"/>
          <a:ext cx="1574800" cy="3876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400" b="1"/>
            <a:t>Total</a:t>
          </a:r>
          <a:r>
            <a:rPr lang="en-IN" sz="1400" b="1" baseline="0"/>
            <a:t> </a:t>
          </a:r>
          <a:r>
            <a:rPr lang="en-IN" sz="1400" b="1" baseline="0">
              <a:latin typeface="Aptos" panose="020B0004020202020204" pitchFamily="34" charset="0"/>
            </a:rPr>
            <a:t>Sales</a:t>
          </a:r>
        </a:p>
      </xdr:txBody>
    </xdr:sp>
    <xdr:clientData/>
  </xdr:oneCellAnchor>
  <xdr:oneCellAnchor>
    <xdr:from>
      <xdr:col>5</xdr:col>
      <xdr:colOff>679450</xdr:colOff>
      <xdr:row>4</xdr:row>
      <xdr:rowOff>63500</xdr:rowOff>
    </xdr:from>
    <xdr:ext cx="1277767" cy="342900"/>
    <xdr:sp macro="" textlink="">
      <xdr:nvSpPr>
        <xdr:cNvPr id="18" name="TextBox 17">
          <a:extLst>
            <a:ext uri="{FF2B5EF4-FFF2-40B4-BE49-F238E27FC236}">
              <a16:creationId xmlns:a16="http://schemas.microsoft.com/office/drawing/2014/main" id="{1389BEE2-228A-FEC3-E25F-11A78AF3C95C}"/>
            </a:ext>
          </a:extLst>
        </xdr:cNvPr>
        <xdr:cNvSpPr txBox="1"/>
      </xdr:nvSpPr>
      <xdr:spPr>
        <a:xfrm>
          <a:off x="2641600" y="787400"/>
          <a:ext cx="1277767" cy="342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400" b="1">
              <a:latin typeface="Aptos" panose="020B0004020202020204" pitchFamily="34" charset="0"/>
            </a:rPr>
            <a:t>Total</a:t>
          </a:r>
          <a:r>
            <a:rPr lang="en-IN" sz="1400" b="1" baseline="0">
              <a:latin typeface="Aptos" panose="020B0004020202020204" pitchFamily="34" charset="0"/>
            </a:rPr>
            <a:t> Quantity</a:t>
          </a:r>
          <a:endParaRPr lang="en-IN" sz="1400" b="1">
            <a:latin typeface="Aptos" panose="020B0004020202020204" pitchFamily="34" charset="0"/>
          </a:endParaRPr>
        </a:p>
      </xdr:txBody>
    </xdr:sp>
    <xdr:clientData/>
  </xdr:oneCellAnchor>
  <xdr:oneCellAnchor>
    <xdr:from>
      <xdr:col>7</xdr:col>
      <xdr:colOff>768350</xdr:colOff>
      <xdr:row>4</xdr:row>
      <xdr:rowOff>82550</xdr:rowOff>
    </xdr:from>
    <xdr:ext cx="1515415" cy="311150"/>
    <xdr:sp macro="" textlink="">
      <xdr:nvSpPr>
        <xdr:cNvPr id="20" name="TextBox 19">
          <a:extLst>
            <a:ext uri="{FF2B5EF4-FFF2-40B4-BE49-F238E27FC236}">
              <a16:creationId xmlns:a16="http://schemas.microsoft.com/office/drawing/2014/main" id="{F9359312-F11E-DC41-D1D2-78BDC5CA48F4}"/>
            </a:ext>
          </a:extLst>
        </xdr:cNvPr>
        <xdr:cNvSpPr txBox="1"/>
      </xdr:nvSpPr>
      <xdr:spPr>
        <a:xfrm>
          <a:off x="4552950" y="806450"/>
          <a:ext cx="1515415" cy="3111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400" b="1">
              <a:latin typeface="Aptos" panose="020B0004020202020204" pitchFamily="34" charset="0"/>
            </a:rPr>
            <a:t>Total</a:t>
          </a:r>
          <a:r>
            <a:rPr lang="en-IN" sz="1400" b="1" baseline="0">
              <a:latin typeface="Aptos" panose="020B0004020202020204" pitchFamily="34" charset="0"/>
            </a:rPr>
            <a:t> Shipments</a:t>
          </a:r>
          <a:endParaRPr lang="en-IN" sz="1400" b="1">
            <a:latin typeface="Aptos" panose="020B0004020202020204" pitchFamily="34" charset="0"/>
          </a:endParaRPr>
        </a:p>
      </xdr:txBody>
    </xdr:sp>
    <xdr:clientData/>
  </xdr:oneCellAnchor>
  <xdr:oneCellAnchor>
    <xdr:from>
      <xdr:col>9</xdr:col>
      <xdr:colOff>1200150</xdr:colOff>
      <xdr:row>4</xdr:row>
      <xdr:rowOff>152400</xdr:rowOff>
    </xdr:from>
    <xdr:ext cx="1496711" cy="285750"/>
    <xdr:sp macro="" textlink="">
      <xdr:nvSpPr>
        <xdr:cNvPr id="22" name="TextBox 21">
          <a:extLst>
            <a:ext uri="{FF2B5EF4-FFF2-40B4-BE49-F238E27FC236}">
              <a16:creationId xmlns:a16="http://schemas.microsoft.com/office/drawing/2014/main" id="{DDE83AF1-6E02-1247-C9AD-4E18DEE5658B}"/>
            </a:ext>
          </a:extLst>
        </xdr:cNvPr>
        <xdr:cNvSpPr txBox="1"/>
      </xdr:nvSpPr>
      <xdr:spPr>
        <a:xfrm>
          <a:off x="6673850" y="876300"/>
          <a:ext cx="1496711" cy="2857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400" b="1">
              <a:latin typeface="Aptos" panose="020B0004020202020204" pitchFamily="34" charset="0"/>
            </a:rPr>
            <a:t>Total</a:t>
          </a:r>
          <a:r>
            <a:rPr lang="en-IN" sz="1400" b="1" baseline="0">
              <a:latin typeface="Aptos" panose="020B0004020202020204" pitchFamily="34" charset="0"/>
            </a:rPr>
            <a:t> Countries</a:t>
          </a:r>
          <a:endParaRPr lang="en-IN" sz="1400" b="1">
            <a:latin typeface="Aptos" panose="020B0004020202020204" pitchFamily="34" charset="0"/>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ulya" refreshedDate="45961.988742361114" createdVersion="8" refreshedVersion="8" minRefreshableVersion="3" recordCount="1200" xr:uid="{C25631B8-23B3-4966-8422-87A29A3D8A2C}">
  <cacheSource type="worksheet">
    <worksheetSource name="Table1"/>
  </cacheSource>
  <cacheFields count="15">
    <cacheField name="Order ID" numFmtId="0">
      <sharedItems/>
    </cacheField>
    <cacheField name="Order Date" numFmtId="164">
      <sharedItems containsSemiMixedTypes="0" containsNonDate="0" containsDate="1" containsString="0" minDate="2024-08-04T00:00:00" maxDate="2027-11-17T00:00:00" count="12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d v="2027-01-01T00:00:00"/>
        <d v="2027-01-02T00:00:00"/>
        <d v="2027-01-03T00:00:00"/>
        <d v="2027-01-04T00:00:00"/>
        <d v="2027-01-05T00:00:00"/>
        <d v="2027-01-06T00:00:00"/>
        <d v="2027-01-07T00:00:00"/>
        <d v="2027-01-08T00:00:00"/>
        <d v="2027-01-09T00:00:00"/>
        <d v="2027-01-10T00:00:00"/>
        <d v="2027-01-11T00:00:00"/>
        <d v="2027-01-12T00:00:00"/>
        <d v="2027-01-13T00:00:00"/>
        <d v="2027-01-14T00:00:00"/>
        <d v="2027-01-15T00:00:00"/>
        <d v="2027-01-16T00:00:00"/>
        <d v="2027-01-17T00:00:00"/>
        <d v="2027-01-18T00:00:00"/>
        <d v="2027-01-19T00:00:00"/>
        <d v="2027-01-20T00:00:00"/>
        <d v="2027-01-21T00:00:00"/>
        <d v="2027-01-22T00:00:00"/>
        <d v="2027-01-23T00:00:00"/>
        <d v="2027-01-24T00:00:00"/>
        <d v="2027-01-25T00:00:00"/>
        <d v="2027-01-26T00:00:00"/>
        <d v="2027-01-27T00:00:00"/>
        <d v="2027-01-28T00:00:00"/>
        <d v="2027-01-29T00:00:00"/>
        <d v="2027-01-30T00:00:00"/>
        <d v="2027-01-31T00:00:00"/>
        <d v="2027-02-01T00:00:00"/>
        <d v="2027-02-02T00:00:00"/>
        <d v="2027-02-03T00:00:00"/>
        <d v="2027-02-04T00:00:00"/>
        <d v="2027-02-05T00:00:00"/>
        <d v="2027-02-06T00:00:00"/>
        <d v="2027-02-07T00:00:00"/>
        <d v="2027-02-08T00:00:00"/>
        <d v="2027-02-09T00:00:00"/>
        <d v="2027-02-10T00:00:00"/>
        <d v="2027-02-11T00:00:00"/>
        <d v="2027-02-12T00:00:00"/>
        <d v="2027-02-13T00:00:00"/>
        <d v="2027-02-14T00:00:00"/>
        <d v="2027-02-15T00:00:00"/>
        <d v="2027-02-16T00:00:00"/>
        <d v="2027-02-17T00:00:00"/>
        <d v="2027-02-18T00:00:00"/>
        <d v="2027-02-19T00:00:00"/>
        <d v="2027-02-20T00:00:00"/>
        <d v="2027-02-21T00:00:00"/>
        <d v="2027-02-22T00:00:00"/>
        <d v="2027-02-23T00:00:00"/>
        <d v="2027-02-24T00:00:00"/>
        <d v="2027-02-25T00:00:00"/>
        <d v="2027-02-26T00:00:00"/>
        <d v="2027-02-27T00:00:00"/>
        <d v="2027-02-28T00:00:00"/>
        <d v="2027-03-01T00:00:00"/>
        <d v="2027-03-02T00:00:00"/>
        <d v="2027-03-03T00:00:00"/>
        <d v="2027-03-04T00:00:00"/>
        <d v="2027-03-05T00:00:00"/>
        <d v="2027-03-06T00:00:00"/>
        <d v="2027-03-07T00:00:00"/>
        <d v="2027-03-08T00:00:00"/>
        <d v="2027-03-09T00:00:00"/>
        <d v="2027-03-10T00:00:00"/>
        <d v="2027-03-11T00:00:00"/>
        <d v="2027-03-12T00:00:00"/>
        <d v="2027-03-13T00:00:00"/>
        <d v="2027-03-14T00:00:00"/>
        <d v="2027-03-15T00:00:00"/>
        <d v="2027-03-16T00:00:00"/>
        <d v="2027-03-17T00:00:00"/>
        <d v="2027-03-18T00:00:00"/>
        <d v="2027-03-19T00:00:00"/>
        <d v="2027-03-20T00:00:00"/>
        <d v="2027-03-21T00:00:00"/>
        <d v="2027-03-22T00:00:00"/>
        <d v="2027-03-23T00:00:00"/>
        <d v="2027-03-24T00:00:00"/>
        <d v="2027-03-25T00:00:00"/>
        <d v="2027-03-26T00:00:00"/>
        <d v="2027-03-27T00:00:00"/>
        <d v="2027-03-28T00:00:00"/>
        <d v="2027-03-29T00:00:00"/>
        <d v="2027-03-30T00:00:00"/>
        <d v="2027-03-31T00:00:00"/>
        <d v="2027-04-01T00:00:00"/>
        <d v="2027-04-02T00:00:00"/>
        <d v="2027-04-03T00:00:00"/>
        <d v="2027-04-04T00:00:00"/>
        <d v="2027-04-05T00:00:00"/>
        <d v="2027-04-06T00:00:00"/>
        <d v="2027-04-07T00:00:00"/>
        <d v="2027-04-08T00:00:00"/>
        <d v="2027-04-09T00:00:00"/>
        <d v="2027-04-10T00:00:00"/>
        <d v="2027-04-11T00:00:00"/>
        <d v="2027-04-12T00:00:00"/>
        <d v="2027-04-13T00:00:00"/>
        <d v="2027-04-14T00:00:00"/>
        <d v="2027-04-15T00:00:00"/>
        <d v="2027-04-16T00:00:00"/>
        <d v="2027-04-17T00:00:00"/>
        <d v="2027-04-18T00:00:00"/>
        <d v="2027-04-19T00:00:00"/>
        <d v="2027-04-20T00:00:00"/>
        <d v="2027-04-21T00:00:00"/>
        <d v="2027-04-22T00:00:00"/>
        <d v="2027-04-23T00:00:00"/>
        <d v="2027-04-24T00:00:00"/>
        <d v="2027-04-25T00:00:00"/>
        <d v="2027-04-26T00:00:00"/>
        <d v="2027-04-27T00:00:00"/>
        <d v="2027-04-28T00:00:00"/>
        <d v="2027-04-29T00:00:00"/>
        <d v="2027-04-30T00:00:00"/>
        <d v="2027-05-01T00:00:00"/>
        <d v="2027-05-02T00:00:00"/>
        <d v="2027-05-03T00:00:00"/>
        <d v="2027-05-04T00:00:00"/>
        <d v="2027-05-05T00:00:00"/>
        <d v="2027-05-06T00:00:00"/>
        <d v="2027-05-07T00:00:00"/>
        <d v="2027-05-08T00:00:00"/>
        <d v="2027-05-09T00:00:00"/>
        <d v="2027-05-10T00:00:00"/>
        <d v="2027-05-11T00:00:00"/>
        <d v="2027-05-12T00:00:00"/>
        <d v="2027-05-13T00:00:00"/>
        <d v="2027-05-14T00:00:00"/>
        <d v="2027-05-15T00:00:00"/>
        <d v="2027-05-16T00:00:00"/>
        <d v="2027-05-17T00:00:00"/>
        <d v="2027-05-18T00:00:00"/>
        <d v="2027-05-19T00:00:00"/>
        <d v="2027-05-20T00:00:00"/>
        <d v="2027-05-21T00:00:00"/>
        <d v="2027-05-22T00:00:00"/>
        <d v="2027-05-23T00:00:00"/>
        <d v="2027-05-24T00:00:00"/>
        <d v="2027-05-25T00:00:00"/>
        <d v="2027-05-26T00:00:00"/>
        <d v="2027-05-27T00:00:00"/>
        <d v="2027-05-28T00:00:00"/>
        <d v="2027-05-29T00:00:00"/>
        <d v="2027-05-30T00:00:00"/>
        <d v="2027-05-31T00:00:00"/>
        <d v="2027-06-01T00:00:00"/>
        <d v="2027-06-02T00:00:00"/>
        <d v="2027-06-03T00:00:00"/>
        <d v="2027-06-04T00:00:00"/>
        <d v="2027-06-05T00:00:00"/>
        <d v="2027-06-06T00:00:00"/>
        <d v="2027-06-07T00:00:00"/>
        <d v="2027-06-08T00:00:00"/>
        <d v="2027-06-09T00:00:00"/>
        <d v="2027-06-10T00:00:00"/>
        <d v="2027-06-11T00:00:00"/>
        <d v="2027-06-12T00:00:00"/>
        <d v="2027-06-13T00:00:00"/>
        <d v="2027-06-14T00:00:00"/>
        <d v="2027-06-15T00:00:00"/>
        <d v="2027-06-16T00:00:00"/>
        <d v="2027-06-17T00:00:00"/>
        <d v="2027-06-18T00:00:00"/>
        <d v="2027-06-19T00:00:00"/>
        <d v="2027-06-20T00:00:00"/>
        <d v="2027-06-21T00:00:00"/>
        <d v="2027-06-22T00:00:00"/>
        <d v="2027-06-23T00:00:00"/>
        <d v="2027-06-24T00:00:00"/>
        <d v="2027-06-25T00:00:00"/>
        <d v="2027-06-26T00:00:00"/>
        <d v="2027-06-27T00:00:00"/>
        <d v="2027-06-28T00:00:00"/>
        <d v="2027-06-29T00:00:00"/>
        <d v="2027-06-30T00:00:00"/>
        <d v="2027-07-01T00:00:00"/>
        <d v="2027-07-02T00:00:00"/>
        <d v="2027-07-03T00:00:00"/>
        <d v="2027-07-04T00:00:00"/>
        <d v="2027-07-05T00:00:00"/>
        <d v="2027-07-06T00:00:00"/>
        <d v="2027-07-07T00:00:00"/>
        <d v="2027-07-08T00:00:00"/>
        <d v="2027-07-09T00:00:00"/>
        <d v="2027-07-10T00:00:00"/>
        <d v="2027-07-11T00:00:00"/>
        <d v="2027-07-12T00:00:00"/>
        <d v="2027-07-13T00:00:00"/>
        <d v="2027-07-14T00:00:00"/>
        <d v="2027-07-15T00:00:00"/>
        <d v="2027-07-16T00:00:00"/>
        <d v="2027-07-17T00:00:00"/>
        <d v="2027-07-18T00:00:00"/>
        <d v="2027-07-19T00:00:00"/>
        <d v="2027-07-20T00:00:00"/>
        <d v="2027-07-21T00:00:00"/>
        <d v="2027-07-22T00:00:00"/>
        <d v="2027-07-23T00:00:00"/>
        <d v="2027-07-24T00:00:00"/>
        <d v="2027-07-25T00:00:00"/>
        <d v="2027-07-26T00:00:00"/>
        <d v="2027-07-27T00:00:00"/>
        <d v="2027-07-28T00:00:00"/>
        <d v="2027-07-29T00:00:00"/>
        <d v="2027-07-30T00:00:00"/>
        <d v="2027-07-31T00:00:00"/>
        <d v="2027-08-01T00:00:00"/>
        <d v="2027-08-02T00:00:00"/>
        <d v="2027-08-03T00:00:00"/>
        <d v="2027-08-04T00:00:00"/>
        <d v="2027-08-05T00:00:00"/>
        <d v="2027-08-06T00:00:00"/>
        <d v="2027-08-07T00:00:00"/>
        <d v="2027-08-08T00:00:00"/>
        <d v="2027-08-09T00:00:00"/>
        <d v="2027-08-10T00:00:00"/>
        <d v="2027-08-11T00:00:00"/>
        <d v="2027-08-12T00:00:00"/>
        <d v="2027-08-13T00:00:00"/>
        <d v="2027-08-14T00:00:00"/>
        <d v="2027-08-15T00:00:00"/>
        <d v="2027-08-16T00:00:00"/>
        <d v="2027-08-17T00:00:00"/>
        <d v="2027-08-18T00:00:00"/>
        <d v="2027-08-19T00:00:00"/>
        <d v="2027-08-20T00:00:00"/>
        <d v="2027-08-21T00:00:00"/>
        <d v="2027-08-22T00:00:00"/>
        <d v="2027-08-23T00:00:00"/>
        <d v="2027-08-24T00:00:00"/>
        <d v="2027-08-25T00:00:00"/>
        <d v="2027-08-26T00:00:00"/>
        <d v="2027-08-27T00:00:00"/>
        <d v="2027-08-28T00:00:00"/>
        <d v="2027-08-29T00:00:00"/>
        <d v="2027-08-30T00:00:00"/>
        <d v="2027-08-31T00:00:00"/>
        <d v="2027-09-01T00:00:00"/>
        <d v="2027-09-02T00:00:00"/>
        <d v="2027-09-03T00:00:00"/>
        <d v="2027-09-04T00:00:00"/>
        <d v="2027-09-05T00:00:00"/>
        <d v="2027-09-06T00:00:00"/>
        <d v="2027-09-07T00:00:00"/>
        <d v="2027-09-08T00:00:00"/>
        <d v="2027-09-09T00:00:00"/>
        <d v="2027-09-10T00:00:00"/>
        <d v="2027-09-11T00:00:00"/>
        <d v="2027-09-12T00:00:00"/>
        <d v="2027-09-13T00:00:00"/>
        <d v="2027-09-14T00:00:00"/>
        <d v="2027-09-15T00:00:00"/>
        <d v="2027-09-16T00:00:00"/>
        <d v="2027-09-17T00:00:00"/>
        <d v="2027-09-18T00:00:00"/>
        <d v="2027-09-19T00:00:00"/>
        <d v="2027-09-20T00:00:00"/>
        <d v="2027-09-21T00:00:00"/>
        <d v="2027-09-22T00:00:00"/>
        <d v="2027-09-23T00:00:00"/>
        <d v="2027-09-24T00:00:00"/>
        <d v="2027-09-25T00:00:00"/>
        <d v="2027-09-26T00:00:00"/>
        <d v="2027-09-27T00:00:00"/>
        <d v="2027-09-28T00:00:00"/>
        <d v="2027-09-29T00:00:00"/>
        <d v="2027-09-30T00:00:00"/>
        <d v="2027-10-01T00:00:00"/>
        <d v="2027-10-02T00:00:00"/>
        <d v="2027-10-03T00:00:00"/>
        <d v="2027-10-04T00:00:00"/>
        <d v="2027-10-05T00:00:00"/>
        <d v="2027-10-06T00:00:00"/>
        <d v="2027-10-07T00:00:00"/>
        <d v="2027-10-08T00:00:00"/>
        <d v="2027-10-09T00:00:00"/>
        <d v="2027-10-10T00:00:00"/>
        <d v="2027-10-11T00:00:00"/>
        <d v="2027-10-12T00:00:00"/>
        <d v="2027-10-13T00:00:00"/>
        <d v="2027-10-14T00:00:00"/>
        <d v="2027-10-15T00:00:00"/>
        <d v="2027-10-16T00:00:00"/>
        <d v="2027-10-17T00:00:00"/>
        <d v="2027-10-18T00:00:00"/>
        <d v="2027-10-19T00:00:00"/>
        <d v="2027-10-20T00:00:00"/>
        <d v="2027-10-21T00:00:00"/>
        <d v="2027-10-22T00:00:00"/>
        <d v="2027-10-23T00:00:00"/>
        <d v="2027-10-24T00:00:00"/>
        <d v="2027-10-25T00:00:00"/>
        <d v="2027-10-26T00:00:00"/>
        <d v="2027-10-27T00:00:00"/>
        <d v="2027-10-28T00:00:00"/>
        <d v="2027-10-29T00:00:00"/>
        <d v="2027-10-30T00:00:00"/>
        <d v="2027-10-31T00:00:00"/>
        <d v="2027-11-01T00:00:00"/>
        <d v="2027-11-02T00:00:00"/>
        <d v="2027-11-03T00:00:00"/>
        <d v="2027-11-04T00:00:00"/>
        <d v="2027-11-05T00:00:00"/>
        <d v="2027-11-06T00:00:00"/>
        <d v="2027-11-07T00:00:00"/>
        <d v="2027-11-08T00:00:00"/>
        <d v="2027-11-09T00:00:00"/>
        <d v="2027-11-10T00:00:00"/>
        <d v="2027-11-11T00:00:00"/>
        <d v="2027-11-12T00:00:00"/>
        <d v="2027-11-13T00:00:00"/>
        <d v="2027-11-14T00:00:00"/>
        <d v="2027-11-15T00:00:00"/>
        <d v="2027-11-16T00:00:00"/>
      </sharedItems>
      <fieldGroup par="14"/>
    </cacheField>
    <cacheField name="Country" numFmtId="0">
      <sharedItems/>
    </cacheField>
    <cacheField name="City" numFmtId="0">
      <sharedItems/>
    </cacheField>
    <cacheField name="Customer Name" numFmtId="0">
      <sharedItems/>
    </cacheField>
    <cacheField name="Salesperson" numFmtId="0">
      <sharedItems count="10">
        <s v="Rohan Das"/>
        <s v="Amit Sharma"/>
        <s v="Rahul Verma"/>
        <s v="Pooja Joshi"/>
        <s v="Sneha Iyer"/>
        <s v="Priya Nair"/>
        <s v="Anjali Singh"/>
        <s v="Karan Mehta"/>
        <s v="Vikram Patel"/>
        <s v="Meera Rao"/>
      </sharedItems>
    </cacheField>
    <cacheField name="Product Category" numFmtId="0">
      <sharedItems/>
    </cacheField>
    <cacheField name="Product Name" numFmtId="0">
      <sharedItems/>
    </cacheField>
    <cacheField name="Quantity Sold" numFmtId="0">
      <sharedItems containsSemiMixedTypes="0" containsString="0" containsNumber="1" containsInteger="1" minValue="10" maxValue="499"/>
    </cacheField>
    <cacheField name="Unit Price (INR)" numFmtId="165">
      <sharedItems containsSemiMixedTypes="0" containsString="0" containsNumber="1" containsInteger="1" minValue="50" maxValue="499"/>
    </cacheField>
    <cacheField name="Total Amount (INR)" numFmtId="165">
      <sharedItems containsSemiMixedTypes="0" containsString="0" containsNumber="1" containsInteger="1" minValue="1003" maxValue="235704"/>
    </cacheField>
    <cacheField name="Payment Mode" numFmtId="0">
      <sharedItems count="4">
        <s v="Credit Card"/>
        <s v="Cash"/>
        <s v="Bank Transfer"/>
        <s v="Online"/>
      </sharedItems>
    </cacheField>
    <cacheField name="Months (Order Date)" numFmtId="0" databaseField="0">
      <fieldGroup base="1">
        <rangePr groupBy="months" startDate="2024-08-04T00:00:00" endDate="2027-11-17T00:00:00"/>
        <groupItems count="14">
          <s v="&lt;04-08-2024"/>
          <s v="Jan"/>
          <s v="Feb"/>
          <s v="Mar"/>
          <s v="Apr"/>
          <s v="May"/>
          <s v="Jun"/>
          <s v="Jul"/>
          <s v="Aug"/>
          <s v="Sep"/>
          <s v="Oct"/>
          <s v="Nov"/>
          <s v="Dec"/>
          <s v="&gt;17-11-2027"/>
        </groupItems>
      </fieldGroup>
    </cacheField>
    <cacheField name="Quarters (Order Date)" numFmtId="0" databaseField="0">
      <fieldGroup base="1">
        <rangePr groupBy="quarters" startDate="2024-08-04T00:00:00" endDate="2027-11-17T00:00:00"/>
        <groupItems count="6">
          <s v="&lt;04-08-2024"/>
          <s v="Qtr1"/>
          <s v="Qtr2"/>
          <s v="Qtr3"/>
          <s v="Qtr4"/>
          <s v="&gt;17-11-2027"/>
        </groupItems>
      </fieldGroup>
    </cacheField>
    <cacheField name="Years (Order Date)" numFmtId="0" databaseField="0">
      <fieldGroup base="1">
        <rangePr groupBy="years" startDate="2024-08-04T00:00:00" endDate="2027-11-17T00:00:00"/>
        <groupItems count="6">
          <s v="&lt;04-08-2024"/>
          <s v="2024"/>
          <s v="2025"/>
          <s v="2026"/>
          <s v="2027"/>
          <s v="&gt;17-11-2027"/>
        </groupItems>
      </fieldGroup>
    </cacheField>
  </cacheFields>
  <extLst>
    <ext xmlns:x14="http://schemas.microsoft.com/office/spreadsheetml/2009/9/main" uri="{725AE2AE-9491-48be-B2B4-4EB974FC3084}">
      <x14:pivotCacheDefinition pivotCacheId="109741562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ulya" refreshedDate="45962.465038888891" backgroundQuery="1" createdVersion="8" refreshedVersion="8" minRefreshableVersion="3" recordCount="0" supportSubquery="1" supportAdvancedDrill="1" xr:uid="{65A295C3-25D0-4932-BB0E-C8C8A03309BF}">
  <cacheSource type="external" connectionId="1"/>
  <cacheFields count="3">
    <cacheField name="[Table1].[Country].[Country]" caption="Country" numFmtId="0" hierarchy="2" level="1">
      <sharedItems count="7">
        <s v="Australia"/>
        <s v="Canada"/>
        <s v="Germany"/>
        <s v="India"/>
        <s v="UAE"/>
        <s v="UK"/>
        <s v="USA"/>
      </sharedItems>
    </cacheField>
    <cacheField name="[Measures].[Sum of Total Amount (INR)]" caption="Sum of Total Amount (INR)" numFmtId="0" hierarchy="14" level="32767"/>
    <cacheField name="[Table1].[Product Category].[Product Category]" caption="Product Category" numFmtId="0" hierarchy="6" level="1">
      <sharedItems containsSemiMixedTypes="0" containsNonDate="0" containsString="0"/>
    </cacheField>
  </cacheFields>
  <cacheHierarchies count="15">
    <cacheHierarchy uniqueName="[Table1].[Order ID]" caption="Order ID" attribute="1" defaultMemberUniqueName="[Table1].[Order ID].[All]" allUniqueName="[Table1].[Order ID].[All]" dimensionUniqueName="[Table1]" displayFolder="" count="2"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Country]" caption="Country" attribute="1" defaultMemberUniqueName="[Table1].[Country].[All]" allUniqueName="[Table1].[Country].[All]" dimensionUniqueName="[Table1]" displayFolder="" count="2" memberValueDatatype="130" unbalanced="0">
      <fieldsUsage count="2">
        <fieldUsage x="-1"/>
        <fieldUsage x="0"/>
      </fieldsUsage>
    </cacheHierarchy>
    <cacheHierarchy uniqueName="[Table1].[City]" caption="City" attribute="1" defaultMemberUniqueName="[Table1].[City].[All]" allUniqueName="[Table1].[City].[All]" dimensionUniqueName="[Table1]" displayFolder="" count="2" memberValueDatatype="130" unbalanced="0"/>
    <cacheHierarchy uniqueName="[Table1].[Customer Name]" caption="Customer Name" attribute="1" defaultMemberUniqueName="[Table1].[Customer Name].[All]" allUniqueName="[Table1].[Customer Name].[All]" dimensionUniqueName="[Table1]" displayFolder="" count="2" memberValueDatatype="130" unbalanced="0"/>
    <cacheHierarchy uniqueName="[Table1].[Salesperson]" caption="Salesperson" attribute="1" defaultMemberUniqueName="[Table1].[Salesperson].[All]" allUniqueName="[Table1].[Salesperson].[All]" dimensionUniqueName="[Table1]" displayFolder="" count="2"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fieldsUsage count="2">
        <fieldUsage x="-1"/>
        <fieldUsage x="2"/>
      </fieldsUsage>
    </cacheHierarchy>
    <cacheHierarchy uniqueName="[Table1].[Product Name]" caption="Product Name" attribute="1" defaultMemberUniqueName="[Table1].[Product Name].[All]" allUniqueName="[Table1].[Product Name].[All]" dimensionUniqueName="[Table1]" displayFolder="" count="2" memberValueDatatype="130" unbalanced="0"/>
    <cacheHierarchy uniqueName="[Table1].[Quantity Sold]" caption="Quantity Sold" attribute="1" defaultMemberUniqueName="[Table1].[Quantity Sold].[All]" allUniqueName="[Table1].[Quantity Sold].[All]" dimensionUniqueName="[Table1]" displayFolder="" count="2" memberValueDatatype="20" unbalanced="0"/>
    <cacheHierarchy uniqueName="[Table1].[Unit Price (INR)]" caption="Unit Price (INR)" attribute="1" defaultMemberUniqueName="[Table1].[Unit Price (INR)].[All]" allUniqueName="[Table1].[Unit Price (INR)].[All]" dimensionUniqueName="[Table1]" displayFolder="" count="2" memberValueDatatype="20" unbalanced="0"/>
    <cacheHierarchy uniqueName="[Table1].[Total Amount (INR)]" caption="Total Amount (INR)" attribute="1" defaultMemberUniqueName="[Table1].[Total Amount (INR)].[All]" allUniqueName="[Table1].[Total Amount (INR)].[All]" dimensionUniqueName="[Table1]" displayFolder="" count="2" memberValueDatatype="20" unbalanced="0"/>
    <cacheHierarchy uniqueName="[Table1].[Payment Mode]" caption="Payment Mode" attribute="1" defaultMemberUniqueName="[Table1].[Payment Mode].[All]" allUniqueName="[Table1].[Payment Mode].[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Amount (INR)]" caption="Sum of Total Amount (INR)" measure="1" displayFolder="" measureGroup="Table1" count="0" oneField="1" hidden="1">
      <fieldsUsage count="1">
        <fieldUsage x="1"/>
      </fieldsUsage>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ulya" refreshedDate="45962.465039236115" backgroundQuery="1" createdVersion="8" refreshedVersion="8" minRefreshableVersion="3" recordCount="0" supportSubquery="1" supportAdvancedDrill="1" xr:uid="{E67E5770-1D79-4207-B8BF-D3C152474C23}">
  <cacheSource type="external" connectionId="1"/>
  <cacheFields count="2">
    <cacheField name="[Table1].[Product Category].[Product Category]" caption="Product Category" numFmtId="0" hierarchy="6" level="1">
      <sharedItems count="5">
        <s v="Dark Chocolate"/>
        <s v="Milk Chocolate"/>
        <s v="Nutty Delight"/>
        <s v="Premium Truffle"/>
        <s v="White Chocolate"/>
      </sharedItems>
    </cacheField>
    <cacheField name="[Measures].[Sum of Total Amount (INR)]" caption="Sum of Total Amount (INR)" numFmtId="0" hierarchy="14" level="32767"/>
  </cacheFields>
  <cacheHierarchies count="15">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Country]" caption="Country" attribute="1" defaultMemberUniqueName="[Table1].[Country].[All]" allUniqueName="[Table1].[Country].[All]" dimensionUniqueName="[Table1]" displayFolder="" count="2" memberValueDatatype="130" unbalanced="0"/>
    <cacheHierarchy uniqueName="[Table1].[City]" caption="City" attribute="1" defaultMemberUniqueName="[Table1].[City].[All]" allUniqueName="[Table1].[City].[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fieldsUsage count="2">
        <fieldUsage x="-1"/>
        <fieldUsage x="0"/>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Quantity Sold]" caption="Quantity Sold" attribute="1" defaultMemberUniqueName="[Table1].[Quantity Sold].[All]" allUniqueName="[Table1].[Quantity Sold].[All]" dimensionUniqueName="[Table1]" displayFolder="" count="0" memberValueDatatype="20" unbalanced="0"/>
    <cacheHierarchy uniqueName="[Table1].[Unit Price (INR)]" caption="Unit Price (INR)" attribute="1" defaultMemberUniqueName="[Table1].[Unit Price (INR)].[All]" allUniqueName="[Table1].[Unit Price (INR)].[All]" dimensionUniqueName="[Table1]" displayFolder="" count="0" memberValueDatatype="20" unbalanced="0"/>
    <cacheHierarchy uniqueName="[Table1].[Total Amount (INR)]" caption="Total Amount (INR)" attribute="1" defaultMemberUniqueName="[Table1].[Total Amount (INR)].[All]" allUniqueName="[Table1].[Total Amount (INR)].[All]" dimensionUniqueName="[Table1]" displayFolder="" count="0" memberValueDatatype="20" unbalanced="0"/>
    <cacheHierarchy uniqueName="[Table1].[Payment Mode]" caption="Payment Mode" attribute="1" defaultMemberUniqueName="[Table1].[Payment Mode].[All]" allUniqueName="[Table1].[Payment Mode].[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Amount (INR)]" caption="Sum of Total Amount (INR)" measure="1" displayFolder="" measureGroup="Table1" count="0" oneField="1" hidden="1">
      <fieldsUsage count="1">
        <fieldUsage x="1"/>
      </fieldsUsage>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ulya" refreshedDate="45962.022487037037" backgroundQuery="1" createdVersion="3" refreshedVersion="8" minRefreshableVersion="3" recordCount="0" supportSubquery="1" supportAdvancedDrill="1" xr:uid="{DA3D8AF2-CADE-4898-83CC-913B26B13266}">
  <cacheSource type="external" connectionId="1">
    <extLst>
      <ext xmlns:x14="http://schemas.microsoft.com/office/spreadsheetml/2009/9/main" uri="{F057638F-6D5F-4e77-A914-E7F072B9BCA8}">
        <x14:sourceConnection name="ThisWorkbookDataModel"/>
      </ext>
    </extLst>
  </cacheSource>
  <cacheFields count="0"/>
  <cacheHierarchies count="15">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Country]" caption="Country" attribute="1" defaultMemberUniqueName="[Table1].[Country].[All]" allUniqueName="[Table1].[Country].[All]" dimensionUniqueName="[Table1]" displayFolder="" count="2" memberValueDatatype="130" unbalanced="0"/>
    <cacheHierarchy uniqueName="[Table1].[City]" caption="City" attribute="1" defaultMemberUniqueName="[Table1].[City].[All]" allUniqueName="[Table1].[City].[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2"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Quantity Sold]" caption="Quantity Sold" attribute="1" defaultMemberUniqueName="[Table1].[Quantity Sold].[All]" allUniqueName="[Table1].[Quantity Sold].[All]" dimensionUniqueName="[Table1]" displayFolder="" count="0" memberValueDatatype="20" unbalanced="0"/>
    <cacheHierarchy uniqueName="[Table1].[Unit Price (INR)]" caption="Unit Price (INR)" attribute="1" defaultMemberUniqueName="[Table1].[Unit Price (INR)].[All]" allUniqueName="[Table1].[Unit Price (INR)].[All]" dimensionUniqueName="[Table1]" displayFolder="" count="0" memberValueDatatype="20" unbalanced="0"/>
    <cacheHierarchy uniqueName="[Table1].[Total Amount (INR)]" caption="Total Amount (INR)" attribute="1" defaultMemberUniqueName="[Table1].[Total Amount (INR)].[All]" allUniqueName="[Table1].[Total Amount (INR)].[All]" dimensionUniqueName="[Table1]" displayFolder="" count="0" memberValueDatatype="20" unbalanced="0"/>
    <cacheHierarchy uniqueName="[Table1].[Payment Mode]" caption="Payment Mode" attribute="1" defaultMemberUniqueName="[Table1].[Payment Mode].[All]" allUniqueName="[Table1].[Payment Mode].[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Amount (INR)]" caption="Sum of Total Amount (INR)" measure="1" displayFolder="" measureGroup="Table1"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1318602150"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1000"/>
    <x v="0"/>
    <s v="UAE"/>
    <s v="Abu Dhabi"/>
    <s v="Customer_361"/>
    <x v="0"/>
    <s v="Nutty Delight"/>
    <s v="CocoaTreat"/>
    <n v="467"/>
    <n v="239"/>
    <n v="111613"/>
    <x v="0"/>
  </r>
  <r>
    <s v="ORD1001"/>
    <x v="1"/>
    <s v="Germany"/>
    <s v="Frankfurt"/>
    <s v="Customer_598"/>
    <x v="1"/>
    <s v="White Chocolate"/>
    <s v="CocoaTreat"/>
    <n v="239"/>
    <n v="50"/>
    <n v="11950"/>
    <x v="1"/>
  </r>
  <r>
    <s v="ORD1002"/>
    <x v="2"/>
    <s v="Australia"/>
    <s v="Sydney"/>
    <s v="Customer_313"/>
    <x v="1"/>
    <s v="Dark Chocolate"/>
    <s v="MilkyBar"/>
    <n v="155"/>
    <n v="202"/>
    <n v="31310"/>
    <x v="2"/>
  </r>
  <r>
    <s v="ORD1003"/>
    <x v="3"/>
    <s v="UAE"/>
    <s v="Dubai"/>
    <s v="Customer_552"/>
    <x v="2"/>
    <s v="Milk Chocolate"/>
    <s v="MilkyBar"/>
    <n v="379"/>
    <n v="478"/>
    <n v="181162"/>
    <x v="0"/>
  </r>
  <r>
    <s v="ORD1004"/>
    <x v="4"/>
    <s v="UK"/>
    <s v="Manchester"/>
    <s v="Customer_891"/>
    <x v="3"/>
    <s v="Milk Chocolate"/>
    <s v="SweetNuts"/>
    <n v="206"/>
    <n v="482"/>
    <n v="99292"/>
    <x v="0"/>
  </r>
  <r>
    <s v="ORD1005"/>
    <x v="5"/>
    <s v="Australia"/>
    <s v="Melbourne"/>
    <s v="Customer_262"/>
    <x v="4"/>
    <s v="Premium Truffle"/>
    <s v="CrunchyJoy"/>
    <n v="382"/>
    <n v="175"/>
    <n v="66850"/>
    <x v="3"/>
  </r>
  <r>
    <s v="ORD1006"/>
    <x v="6"/>
    <s v="Australia"/>
    <s v="Melbourne"/>
    <s v="Customer_202"/>
    <x v="0"/>
    <s v="White Chocolate"/>
    <s v="Silk"/>
    <n v="230"/>
    <n v="394"/>
    <n v="90620"/>
    <x v="0"/>
  </r>
  <r>
    <s v="ORD1007"/>
    <x v="7"/>
    <s v="UAE"/>
    <s v="Sharjah"/>
    <s v="Customer_710"/>
    <x v="5"/>
    <s v="White Chocolate"/>
    <s v="CocoaTreat"/>
    <n v="432"/>
    <n v="449"/>
    <n v="193968"/>
    <x v="0"/>
  </r>
  <r>
    <s v="ORD1008"/>
    <x v="8"/>
    <s v="USA"/>
    <s v="Houston"/>
    <s v="Customer_805"/>
    <x v="6"/>
    <s v="Milk Chocolate"/>
    <s v="SweetNuts"/>
    <n v="69"/>
    <n v="275"/>
    <n v="18975"/>
    <x v="2"/>
  </r>
  <r>
    <s v="ORD1009"/>
    <x v="9"/>
    <s v="UK"/>
    <s v="London"/>
    <s v="Customer_382"/>
    <x v="5"/>
    <s v="Nutty Delight"/>
    <s v="CrunchyJoy"/>
    <n v="107"/>
    <n v="270"/>
    <n v="28890"/>
    <x v="1"/>
  </r>
  <r>
    <s v="ORD1010"/>
    <x v="10"/>
    <s v="UAE"/>
    <s v="Dubai"/>
    <s v="Customer_903"/>
    <x v="7"/>
    <s v="Dark Chocolate"/>
    <s v="SweetNuts"/>
    <n v="180"/>
    <n v="452"/>
    <n v="81360"/>
    <x v="1"/>
  </r>
  <r>
    <s v="ORD1011"/>
    <x v="11"/>
    <s v="UK"/>
    <s v="Liverpool"/>
    <s v="Customer_301"/>
    <x v="5"/>
    <s v="Nutty Delight"/>
    <s v="SweetNuts"/>
    <n v="391"/>
    <n v="456"/>
    <n v="178296"/>
    <x v="3"/>
  </r>
  <r>
    <s v="ORD1012"/>
    <x v="12"/>
    <s v="UK"/>
    <s v="Birmingham"/>
    <s v="Customer_691"/>
    <x v="7"/>
    <s v="Nutty Delight"/>
    <s v="Silk"/>
    <n v="182"/>
    <n v="260"/>
    <n v="47320"/>
    <x v="2"/>
  </r>
  <r>
    <s v="ORD1013"/>
    <x v="13"/>
    <s v="Australia"/>
    <s v="Sydney"/>
    <s v="Customer_214"/>
    <x v="8"/>
    <s v="Milk Chocolate"/>
    <s v="Silk"/>
    <n v="160"/>
    <n v="74"/>
    <n v="11840"/>
    <x v="1"/>
  </r>
  <r>
    <s v="ORD1014"/>
    <x v="14"/>
    <s v="Germany"/>
    <s v="Munich"/>
    <s v="Customer_299"/>
    <x v="6"/>
    <s v="Milk Chocolate"/>
    <s v="DarkMagic"/>
    <n v="462"/>
    <n v="65"/>
    <n v="30030"/>
    <x v="2"/>
  </r>
  <r>
    <s v="ORD1015"/>
    <x v="15"/>
    <s v="UK"/>
    <s v="Manchester"/>
    <s v="Customer_675"/>
    <x v="5"/>
    <s v="Milk Chocolate"/>
    <s v="ChocoLuxe"/>
    <n v="359"/>
    <n v="231"/>
    <n v="82929"/>
    <x v="1"/>
  </r>
  <r>
    <s v="ORD1016"/>
    <x v="16"/>
    <s v="Canada"/>
    <s v="Calgary"/>
    <s v="Customer_200"/>
    <x v="8"/>
    <s v="Premium Truffle"/>
    <s v="ChocoLuxe"/>
    <n v="399"/>
    <n v="378"/>
    <n v="150822"/>
    <x v="2"/>
  </r>
  <r>
    <s v="ORD1017"/>
    <x v="17"/>
    <s v="Australia"/>
    <s v="Melbourne"/>
    <s v="Customer_695"/>
    <x v="9"/>
    <s v="Nutty Delight"/>
    <s v="DarkMagic"/>
    <n v="449"/>
    <n v="178"/>
    <n v="79922"/>
    <x v="3"/>
  </r>
  <r>
    <s v="ORD1018"/>
    <x v="18"/>
    <s v="USA"/>
    <s v="San Francisco"/>
    <s v="Customer_292"/>
    <x v="4"/>
    <s v="White Chocolate"/>
    <s v="DarkMagic"/>
    <n v="131"/>
    <n v="91"/>
    <n v="11921"/>
    <x v="0"/>
  </r>
  <r>
    <s v="ORD1019"/>
    <x v="19"/>
    <s v="Germany"/>
    <s v="Munich"/>
    <s v="Customer_214"/>
    <x v="8"/>
    <s v="Dark Chocolate"/>
    <s v="MilkyBar"/>
    <n v="117"/>
    <n v="452"/>
    <n v="52884"/>
    <x v="3"/>
  </r>
  <r>
    <s v="ORD1020"/>
    <x v="20"/>
    <s v="Canada"/>
    <s v="Montreal"/>
    <s v="Customer_656"/>
    <x v="4"/>
    <s v="Premium Truffle"/>
    <s v="CrunchyJoy"/>
    <n v="13"/>
    <n v="467"/>
    <n v="6071"/>
    <x v="1"/>
  </r>
  <r>
    <s v="ORD1021"/>
    <x v="21"/>
    <s v="Canada"/>
    <s v="Montreal"/>
    <s v="Customer_800"/>
    <x v="5"/>
    <s v="White Chocolate"/>
    <s v="SweetNuts"/>
    <n v="102"/>
    <n v="385"/>
    <n v="39270"/>
    <x v="3"/>
  </r>
  <r>
    <s v="ORD1022"/>
    <x v="22"/>
    <s v="USA"/>
    <s v="Houston"/>
    <s v="Customer_953"/>
    <x v="3"/>
    <s v="Nutty Delight"/>
    <s v="CocoaTreat"/>
    <n v="416"/>
    <n v="285"/>
    <n v="118560"/>
    <x v="0"/>
  </r>
  <r>
    <s v="ORD1023"/>
    <x v="23"/>
    <s v="Germany"/>
    <s v="Berlin"/>
    <s v="Customer_947"/>
    <x v="8"/>
    <s v="Milk Chocolate"/>
    <s v="DarkMagic"/>
    <n v="15"/>
    <n v="409"/>
    <n v="6135"/>
    <x v="3"/>
  </r>
  <r>
    <s v="ORD1024"/>
    <x v="24"/>
    <s v="Australia"/>
    <s v="Brisbane"/>
    <s v="Customer_841"/>
    <x v="6"/>
    <s v="Nutty Delight"/>
    <s v="TruffleBite"/>
    <n v="297"/>
    <n v="488"/>
    <n v="144936"/>
    <x v="1"/>
  </r>
  <r>
    <s v="ORD1025"/>
    <x v="25"/>
    <s v="India"/>
    <s v="Bangalore"/>
    <s v="Customer_533"/>
    <x v="5"/>
    <s v="Dark Chocolate"/>
    <s v="ChocoLuxe"/>
    <n v="115"/>
    <n v="451"/>
    <n v="51865"/>
    <x v="1"/>
  </r>
  <r>
    <s v="ORD1026"/>
    <x v="26"/>
    <s v="Germany"/>
    <s v="Berlin"/>
    <s v="Customer_843"/>
    <x v="0"/>
    <s v="Premium Truffle"/>
    <s v="DarkMagic"/>
    <n v="155"/>
    <n v="83"/>
    <n v="12865"/>
    <x v="3"/>
  </r>
  <r>
    <s v="ORD1027"/>
    <x v="27"/>
    <s v="USA"/>
    <s v="Los Angeles"/>
    <s v="Customer_346"/>
    <x v="1"/>
    <s v="Premium Truffle"/>
    <s v="TruffleBite"/>
    <n v="280"/>
    <n v="394"/>
    <n v="110320"/>
    <x v="0"/>
  </r>
  <r>
    <s v="ORD1028"/>
    <x v="28"/>
    <s v="Canada"/>
    <s v="Calgary"/>
    <s v="Customer_920"/>
    <x v="8"/>
    <s v="Dark Chocolate"/>
    <s v="TruffleBite"/>
    <n v="433"/>
    <n v="430"/>
    <n v="186190"/>
    <x v="3"/>
  </r>
  <r>
    <s v="ORD1029"/>
    <x v="29"/>
    <s v="Australia"/>
    <s v="Melbourne"/>
    <s v="Customer_165"/>
    <x v="6"/>
    <s v="White Chocolate"/>
    <s v="TruffleBite"/>
    <n v="387"/>
    <n v="94"/>
    <n v="36378"/>
    <x v="0"/>
  </r>
  <r>
    <s v="ORD1030"/>
    <x v="30"/>
    <s v="Germany"/>
    <s v="Berlin"/>
    <s v="Customer_415"/>
    <x v="9"/>
    <s v="White Chocolate"/>
    <s v="MilkyBar"/>
    <n v="105"/>
    <n v="183"/>
    <n v="19215"/>
    <x v="2"/>
  </r>
  <r>
    <s v="ORD1031"/>
    <x v="31"/>
    <s v="India"/>
    <s v="Delhi"/>
    <s v="Customer_942"/>
    <x v="0"/>
    <s v="Premium Truffle"/>
    <s v="MilkyBar"/>
    <n v="466"/>
    <n v="70"/>
    <n v="32620"/>
    <x v="0"/>
  </r>
  <r>
    <s v="ORD1032"/>
    <x v="32"/>
    <s v="India"/>
    <s v="Hyderabad"/>
    <s v="Customer_313"/>
    <x v="9"/>
    <s v="Premium Truffle"/>
    <s v="CocoaTreat"/>
    <n v="238"/>
    <n v="171"/>
    <n v="40698"/>
    <x v="2"/>
  </r>
  <r>
    <s v="ORD1033"/>
    <x v="33"/>
    <s v="UK"/>
    <s v="Manchester"/>
    <s v="Customer_389"/>
    <x v="5"/>
    <s v="Milk Chocolate"/>
    <s v="CocoaTreat"/>
    <n v="211"/>
    <n v="119"/>
    <n v="25109"/>
    <x v="3"/>
  </r>
  <r>
    <s v="ORD1034"/>
    <x v="34"/>
    <s v="UK"/>
    <s v="London"/>
    <s v="Customer_791"/>
    <x v="1"/>
    <s v="White Chocolate"/>
    <s v="TruffleBite"/>
    <n v="221"/>
    <n v="401"/>
    <n v="88621"/>
    <x v="0"/>
  </r>
  <r>
    <s v="ORD1035"/>
    <x v="35"/>
    <s v="UAE"/>
    <s v="Abu Dhabi"/>
    <s v="Customer_640"/>
    <x v="8"/>
    <s v="Dark Chocolate"/>
    <s v="CrunchyJoy"/>
    <n v="15"/>
    <n v="410"/>
    <n v="6150"/>
    <x v="2"/>
  </r>
  <r>
    <s v="ORD1036"/>
    <x v="36"/>
    <s v="USA"/>
    <s v="Houston"/>
    <s v="Customer_578"/>
    <x v="8"/>
    <s v="White Chocolate"/>
    <s v="MilkyBar"/>
    <n v="121"/>
    <n v="97"/>
    <n v="11737"/>
    <x v="2"/>
  </r>
  <r>
    <s v="ORD1037"/>
    <x v="37"/>
    <s v="Germany"/>
    <s v="Berlin"/>
    <s v="Customer_559"/>
    <x v="3"/>
    <s v="Milk Chocolate"/>
    <s v="SweetNuts"/>
    <n v="385"/>
    <n v="88"/>
    <n v="33880"/>
    <x v="2"/>
  </r>
  <r>
    <s v="ORD1038"/>
    <x v="38"/>
    <s v="Germany"/>
    <s v="Frankfurt"/>
    <s v="Customer_121"/>
    <x v="3"/>
    <s v="Premium Truffle"/>
    <s v="TruffleBite"/>
    <n v="388"/>
    <n v="336"/>
    <n v="130368"/>
    <x v="1"/>
  </r>
  <r>
    <s v="ORD1039"/>
    <x v="39"/>
    <s v="UAE"/>
    <s v="Dubai"/>
    <s v="Customer_682"/>
    <x v="5"/>
    <s v="Premium Truffle"/>
    <s v="SweetNuts"/>
    <n v="456"/>
    <n v="59"/>
    <n v="26904"/>
    <x v="3"/>
  </r>
  <r>
    <s v="ORD1040"/>
    <x v="40"/>
    <s v="Canada"/>
    <s v="Toronto"/>
    <s v="Customer_734"/>
    <x v="5"/>
    <s v="Milk Chocolate"/>
    <s v="SweetNuts"/>
    <n v="332"/>
    <n v="79"/>
    <n v="26228"/>
    <x v="2"/>
  </r>
  <r>
    <s v="ORD1041"/>
    <x v="41"/>
    <s v="Canada"/>
    <s v="Toronto"/>
    <s v="Customer_788"/>
    <x v="1"/>
    <s v="Dark Chocolate"/>
    <s v="TruffleBite"/>
    <n v="115"/>
    <n v="293"/>
    <n v="33695"/>
    <x v="0"/>
  </r>
  <r>
    <s v="ORD1042"/>
    <x v="42"/>
    <s v="UAE"/>
    <s v="Dubai"/>
    <s v="Customer_276"/>
    <x v="3"/>
    <s v="Premium Truffle"/>
    <s v="ChocoLuxe"/>
    <n v="148"/>
    <n v="323"/>
    <n v="47804"/>
    <x v="2"/>
  </r>
  <r>
    <s v="ORD1043"/>
    <x v="43"/>
    <s v="Canada"/>
    <s v="Montreal"/>
    <s v="Customer_533"/>
    <x v="6"/>
    <s v="Nutty Delight"/>
    <s v="CrunchyJoy"/>
    <n v="308"/>
    <n v="493"/>
    <n v="151844"/>
    <x v="1"/>
  </r>
  <r>
    <s v="ORD1044"/>
    <x v="44"/>
    <s v="UK"/>
    <s v="Birmingham"/>
    <s v="Customer_285"/>
    <x v="6"/>
    <s v="Premium Truffle"/>
    <s v="TruffleBite"/>
    <n v="410"/>
    <n v="137"/>
    <n v="56170"/>
    <x v="3"/>
  </r>
  <r>
    <s v="ORD1045"/>
    <x v="45"/>
    <s v="Germany"/>
    <s v="Hamburg"/>
    <s v="Customer_883"/>
    <x v="1"/>
    <s v="Nutty Delight"/>
    <s v="CocoaTreat"/>
    <n v="105"/>
    <n v="293"/>
    <n v="30765"/>
    <x v="1"/>
  </r>
  <r>
    <s v="ORD1046"/>
    <x v="46"/>
    <s v="UAE"/>
    <s v="Abu Dhabi"/>
    <s v="Customer_526"/>
    <x v="6"/>
    <s v="Milk Chocolate"/>
    <s v="TruffleBite"/>
    <n v="397"/>
    <n v="430"/>
    <n v="170710"/>
    <x v="1"/>
  </r>
  <r>
    <s v="ORD1047"/>
    <x v="47"/>
    <s v="Germany"/>
    <s v="Frankfurt"/>
    <s v="Customer_718"/>
    <x v="7"/>
    <s v="Milk Chocolate"/>
    <s v="MilkyBar"/>
    <n v="456"/>
    <n v="378"/>
    <n v="172368"/>
    <x v="1"/>
  </r>
  <r>
    <s v="ORD1048"/>
    <x v="48"/>
    <s v="India"/>
    <s v="Bangalore"/>
    <s v="Customer_675"/>
    <x v="4"/>
    <s v="Premium Truffle"/>
    <s v="TruffleBite"/>
    <n v="461"/>
    <n v="64"/>
    <n v="29504"/>
    <x v="0"/>
  </r>
  <r>
    <s v="ORD1049"/>
    <x v="49"/>
    <s v="UK"/>
    <s v="Manchester"/>
    <s v="Customer_316"/>
    <x v="1"/>
    <s v="White Chocolate"/>
    <s v="ChocoLuxe"/>
    <n v="346"/>
    <n v="53"/>
    <n v="18338"/>
    <x v="3"/>
  </r>
  <r>
    <s v="ORD1050"/>
    <x v="50"/>
    <s v="Australia"/>
    <s v="Brisbane"/>
    <s v="Customer_113"/>
    <x v="1"/>
    <s v="Nutty Delight"/>
    <s v="MilkyBar"/>
    <n v="306"/>
    <n v="240"/>
    <n v="73440"/>
    <x v="3"/>
  </r>
  <r>
    <s v="ORD1051"/>
    <x v="51"/>
    <s v="UK"/>
    <s v="London"/>
    <s v="Customer_488"/>
    <x v="2"/>
    <s v="Dark Chocolate"/>
    <s v="CocoaTreat"/>
    <n v="476"/>
    <n v="217"/>
    <n v="103292"/>
    <x v="0"/>
  </r>
  <r>
    <s v="ORD1052"/>
    <x v="52"/>
    <s v="UAE"/>
    <s v="Dubai"/>
    <s v="Customer_435"/>
    <x v="0"/>
    <s v="Premium Truffle"/>
    <s v="Silk"/>
    <n v="398"/>
    <n v="58"/>
    <n v="23084"/>
    <x v="3"/>
  </r>
  <r>
    <s v="ORD1053"/>
    <x v="53"/>
    <s v="Australia"/>
    <s v="Melbourne"/>
    <s v="Customer_984"/>
    <x v="0"/>
    <s v="Dark Chocolate"/>
    <s v="Silk"/>
    <n v="425"/>
    <n v="158"/>
    <n v="67150"/>
    <x v="1"/>
  </r>
  <r>
    <s v="ORD1054"/>
    <x v="54"/>
    <s v="India"/>
    <s v="Hyderabad"/>
    <s v="Customer_946"/>
    <x v="7"/>
    <s v="Premium Truffle"/>
    <s v="SweetNuts"/>
    <n v="223"/>
    <n v="186"/>
    <n v="41478"/>
    <x v="3"/>
  </r>
  <r>
    <s v="ORD1055"/>
    <x v="55"/>
    <s v="UAE"/>
    <s v="Abu Dhabi"/>
    <s v="Customer_473"/>
    <x v="3"/>
    <s v="White Chocolate"/>
    <s v="CrunchyJoy"/>
    <n v="463"/>
    <n v="203"/>
    <n v="93989"/>
    <x v="0"/>
  </r>
  <r>
    <s v="ORD1056"/>
    <x v="56"/>
    <s v="USA"/>
    <s v="San Francisco"/>
    <s v="Customer_495"/>
    <x v="5"/>
    <s v="White Chocolate"/>
    <s v="SweetNuts"/>
    <n v="300"/>
    <n v="437"/>
    <n v="131100"/>
    <x v="1"/>
  </r>
  <r>
    <s v="ORD1057"/>
    <x v="57"/>
    <s v="Germany"/>
    <s v="Hamburg"/>
    <s v="Customer_979"/>
    <x v="5"/>
    <s v="White Chocolate"/>
    <s v="ChocoLuxe"/>
    <n v="31"/>
    <n v="258"/>
    <n v="7998"/>
    <x v="0"/>
  </r>
  <r>
    <s v="ORD1058"/>
    <x v="58"/>
    <s v="India"/>
    <s v="Bangalore"/>
    <s v="Customer_433"/>
    <x v="9"/>
    <s v="White Chocolate"/>
    <s v="DarkMagic"/>
    <n v="202"/>
    <n v="321"/>
    <n v="64842"/>
    <x v="2"/>
  </r>
  <r>
    <s v="ORD1059"/>
    <x v="59"/>
    <s v="Germany"/>
    <s v="Berlin"/>
    <s v="Customer_669"/>
    <x v="7"/>
    <s v="Milk Chocolate"/>
    <s v="CocoaTreat"/>
    <n v="477"/>
    <n v="192"/>
    <n v="91584"/>
    <x v="1"/>
  </r>
  <r>
    <s v="ORD1060"/>
    <x v="60"/>
    <s v="Canada"/>
    <s v="Vancouver"/>
    <s v="Customer_121"/>
    <x v="1"/>
    <s v="Milk Chocolate"/>
    <s v="CrunchyJoy"/>
    <n v="159"/>
    <n v="148"/>
    <n v="23532"/>
    <x v="1"/>
  </r>
  <r>
    <s v="ORD1061"/>
    <x v="61"/>
    <s v="USA"/>
    <s v="Houston"/>
    <s v="Customer_568"/>
    <x v="7"/>
    <s v="Nutty Delight"/>
    <s v="CocoaTreat"/>
    <n v="377"/>
    <n v="426"/>
    <n v="160602"/>
    <x v="3"/>
  </r>
  <r>
    <s v="ORD1062"/>
    <x v="62"/>
    <s v="USA"/>
    <s v="Chicago"/>
    <s v="Customer_522"/>
    <x v="7"/>
    <s v="Dark Chocolate"/>
    <s v="Silk"/>
    <n v="256"/>
    <n v="357"/>
    <n v="91392"/>
    <x v="1"/>
  </r>
  <r>
    <s v="ORD1063"/>
    <x v="63"/>
    <s v="India"/>
    <s v="Bangalore"/>
    <s v="Customer_473"/>
    <x v="7"/>
    <s v="Premium Truffle"/>
    <s v="SweetNuts"/>
    <n v="276"/>
    <n v="118"/>
    <n v="32568"/>
    <x v="0"/>
  </r>
  <r>
    <s v="ORD1064"/>
    <x v="64"/>
    <s v="USA"/>
    <s v="New York"/>
    <s v="Customer_541"/>
    <x v="0"/>
    <s v="Premium Truffle"/>
    <s v="CocoaTreat"/>
    <n v="470"/>
    <n v="296"/>
    <n v="139120"/>
    <x v="3"/>
  </r>
  <r>
    <s v="ORD1065"/>
    <x v="65"/>
    <s v="Australia"/>
    <s v="Perth"/>
    <s v="Customer_552"/>
    <x v="7"/>
    <s v="Milk Chocolate"/>
    <s v="Silk"/>
    <n v="260"/>
    <n v="310"/>
    <n v="80600"/>
    <x v="2"/>
  </r>
  <r>
    <s v="ORD1066"/>
    <x v="66"/>
    <s v="USA"/>
    <s v="Houston"/>
    <s v="Customer_632"/>
    <x v="4"/>
    <s v="Premium Truffle"/>
    <s v="ChocoLuxe"/>
    <n v="499"/>
    <n v="325"/>
    <n v="162175"/>
    <x v="0"/>
  </r>
  <r>
    <s v="ORD1067"/>
    <x v="67"/>
    <s v="Germany"/>
    <s v="Hamburg"/>
    <s v="Customer_330"/>
    <x v="5"/>
    <s v="Milk Chocolate"/>
    <s v="ChocoLuxe"/>
    <n v="12"/>
    <n v="128"/>
    <n v="1536"/>
    <x v="2"/>
  </r>
  <r>
    <s v="ORD1068"/>
    <x v="68"/>
    <s v="Germany"/>
    <s v="Berlin"/>
    <s v="Customer_704"/>
    <x v="9"/>
    <s v="Nutty Delight"/>
    <s v="DarkMagic"/>
    <n v="402"/>
    <n v="195"/>
    <n v="78390"/>
    <x v="2"/>
  </r>
  <r>
    <s v="ORD1069"/>
    <x v="69"/>
    <s v="UAE"/>
    <s v="Sharjah"/>
    <s v="Customer_462"/>
    <x v="4"/>
    <s v="Dark Chocolate"/>
    <s v="CocoaTreat"/>
    <n v="325"/>
    <n v="160"/>
    <n v="52000"/>
    <x v="2"/>
  </r>
  <r>
    <s v="ORD1070"/>
    <x v="70"/>
    <s v="Germany"/>
    <s v="Berlin"/>
    <s v="Customer_716"/>
    <x v="9"/>
    <s v="Nutty Delight"/>
    <s v="DarkMagic"/>
    <n v="85"/>
    <n v="307"/>
    <n v="26095"/>
    <x v="1"/>
  </r>
  <r>
    <s v="ORD1071"/>
    <x v="71"/>
    <s v="UAE"/>
    <s v="Dubai"/>
    <s v="Customer_753"/>
    <x v="2"/>
    <s v="White Chocolate"/>
    <s v="MilkyBar"/>
    <n v="96"/>
    <n v="142"/>
    <n v="13632"/>
    <x v="0"/>
  </r>
  <r>
    <s v="ORD1072"/>
    <x v="72"/>
    <s v="Germany"/>
    <s v="Munich"/>
    <s v="Customer_964"/>
    <x v="9"/>
    <s v="White Chocolate"/>
    <s v="CrunchyJoy"/>
    <n v="279"/>
    <n v="62"/>
    <n v="17298"/>
    <x v="0"/>
  </r>
  <r>
    <s v="ORD1073"/>
    <x v="73"/>
    <s v="Australia"/>
    <s v="Perth"/>
    <s v="Customer_344"/>
    <x v="5"/>
    <s v="White Chocolate"/>
    <s v="CocoaTreat"/>
    <n v="234"/>
    <n v="309"/>
    <n v="72306"/>
    <x v="1"/>
  </r>
  <r>
    <s v="ORD1074"/>
    <x v="74"/>
    <s v="UAE"/>
    <s v="Abu Dhabi"/>
    <s v="Customer_350"/>
    <x v="5"/>
    <s v="Nutty Delight"/>
    <s v="ChocoLuxe"/>
    <n v="27"/>
    <n v="475"/>
    <n v="12825"/>
    <x v="3"/>
  </r>
  <r>
    <s v="ORD1075"/>
    <x v="75"/>
    <s v="UK"/>
    <s v="Birmingham"/>
    <s v="Customer_819"/>
    <x v="7"/>
    <s v="Premium Truffle"/>
    <s v="SweetNuts"/>
    <n v="122"/>
    <n v="158"/>
    <n v="19276"/>
    <x v="2"/>
  </r>
  <r>
    <s v="ORD1076"/>
    <x v="76"/>
    <s v="Canada"/>
    <s v="Toronto"/>
    <s v="Customer_502"/>
    <x v="8"/>
    <s v="Dark Chocolate"/>
    <s v="Silk"/>
    <n v="260"/>
    <n v="379"/>
    <n v="98540"/>
    <x v="0"/>
  </r>
  <r>
    <s v="ORD1077"/>
    <x v="77"/>
    <s v="India"/>
    <s v="Chennai"/>
    <s v="Customer_265"/>
    <x v="2"/>
    <s v="White Chocolate"/>
    <s v="TruffleBite"/>
    <n v="242"/>
    <n v="238"/>
    <n v="57596"/>
    <x v="1"/>
  </r>
  <r>
    <s v="ORD1078"/>
    <x v="78"/>
    <s v="Germany"/>
    <s v="Berlin"/>
    <s v="Customer_380"/>
    <x v="1"/>
    <s v="White Chocolate"/>
    <s v="DarkMagic"/>
    <n v="338"/>
    <n v="144"/>
    <n v="48672"/>
    <x v="2"/>
  </r>
  <r>
    <s v="ORD1079"/>
    <x v="79"/>
    <s v="USA"/>
    <s v="Chicago"/>
    <s v="Customer_207"/>
    <x v="6"/>
    <s v="White Chocolate"/>
    <s v="TruffleBite"/>
    <n v="288"/>
    <n v="154"/>
    <n v="44352"/>
    <x v="3"/>
  </r>
  <r>
    <s v="ORD1080"/>
    <x v="80"/>
    <s v="Germany"/>
    <s v="Frankfurt"/>
    <s v="Customer_690"/>
    <x v="9"/>
    <s v="Dark Chocolate"/>
    <s v="CocoaTreat"/>
    <n v="211"/>
    <n v="57"/>
    <n v="12027"/>
    <x v="3"/>
  </r>
  <r>
    <s v="ORD1081"/>
    <x v="81"/>
    <s v="USA"/>
    <s v="Los Angeles"/>
    <s v="Customer_935"/>
    <x v="8"/>
    <s v="White Chocolate"/>
    <s v="SweetNuts"/>
    <n v="92"/>
    <n v="116"/>
    <n v="10672"/>
    <x v="2"/>
  </r>
  <r>
    <s v="ORD1082"/>
    <x v="82"/>
    <s v="Canada"/>
    <s v="Vancouver"/>
    <s v="Customer_876"/>
    <x v="7"/>
    <s v="Dark Chocolate"/>
    <s v="DarkMagic"/>
    <n v="134"/>
    <n v="240"/>
    <n v="32160"/>
    <x v="3"/>
  </r>
  <r>
    <s v="ORD1083"/>
    <x v="83"/>
    <s v="Canada"/>
    <s v="Calgary"/>
    <s v="Customer_162"/>
    <x v="0"/>
    <s v="White Chocolate"/>
    <s v="TruffleBite"/>
    <n v="184"/>
    <n v="415"/>
    <n v="76360"/>
    <x v="0"/>
  </r>
  <r>
    <s v="ORD1084"/>
    <x v="84"/>
    <s v="Canada"/>
    <s v="Toronto"/>
    <s v="Customer_744"/>
    <x v="1"/>
    <s v="Nutty Delight"/>
    <s v="CrunchyJoy"/>
    <n v="78"/>
    <n v="305"/>
    <n v="23790"/>
    <x v="0"/>
  </r>
  <r>
    <s v="ORD1085"/>
    <x v="85"/>
    <s v="USA"/>
    <s v="San Francisco"/>
    <s v="Customer_722"/>
    <x v="3"/>
    <s v="Nutty Delight"/>
    <s v="SweetNuts"/>
    <n v="56"/>
    <n v="58"/>
    <n v="3248"/>
    <x v="0"/>
  </r>
  <r>
    <s v="ORD1086"/>
    <x v="86"/>
    <s v="Germany"/>
    <s v="Munich"/>
    <s v="Customer_935"/>
    <x v="8"/>
    <s v="Dark Chocolate"/>
    <s v="Silk"/>
    <n v="381"/>
    <n v="166"/>
    <n v="63246"/>
    <x v="3"/>
  </r>
  <r>
    <s v="ORD1087"/>
    <x v="87"/>
    <s v="Canada"/>
    <s v="Toronto"/>
    <s v="Customer_157"/>
    <x v="0"/>
    <s v="Nutty Delight"/>
    <s v="CrunchyJoy"/>
    <n v="265"/>
    <n v="316"/>
    <n v="83740"/>
    <x v="0"/>
  </r>
  <r>
    <s v="ORD1088"/>
    <x v="88"/>
    <s v="Australia"/>
    <s v="Melbourne"/>
    <s v="Customer_242"/>
    <x v="2"/>
    <s v="Dark Chocolate"/>
    <s v="SweetNuts"/>
    <n v="224"/>
    <n v="148"/>
    <n v="33152"/>
    <x v="1"/>
  </r>
  <r>
    <s v="ORD1089"/>
    <x v="89"/>
    <s v="UAE"/>
    <s v="Sharjah"/>
    <s v="Customer_710"/>
    <x v="7"/>
    <s v="Nutty Delight"/>
    <s v="MilkyBar"/>
    <n v="39"/>
    <n v="347"/>
    <n v="13533"/>
    <x v="0"/>
  </r>
  <r>
    <s v="ORD1090"/>
    <x v="90"/>
    <s v="USA"/>
    <s v="Chicago"/>
    <s v="Customer_921"/>
    <x v="1"/>
    <s v="Nutty Delight"/>
    <s v="DarkMagic"/>
    <n v="290"/>
    <n v="446"/>
    <n v="129340"/>
    <x v="0"/>
  </r>
  <r>
    <s v="ORD1091"/>
    <x v="91"/>
    <s v="USA"/>
    <s v="San Francisco"/>
    <s v="Customer_207"/>
    <x v="1"/>
    <s v="Dark Chocolate"/>
    <s v="ChocoLuxe"/>
    <n v="421"/>
    <n v="213"/>
    <n v="89673"/>
    <x v="3"/>
  </r>
  <r>
    <s v="ORD1092"/>
    <x v="92"/>
    <s v="Germany"/>
    <s v="Munich"/>
    <s v="Customer_494"/>
    <x v="1"/>
    <s v="Premium Truffle"/>
    <s v="Silk"/>
    <n v="491"/>
    <n v="425"/>
    <n v="208675"/>
    <x v="0"/>
  </r>
  <r>
    <s v="ORD1093"/>
    <x v="93"/>
    <s v="USA"/>
    <s v="New York"/>
    <s v="Customer_836"/>
    <x v="2"/>
    <s v="Nutty Delight"/>
    <s v="CocoaTreat"/>
    <n v="246"/>
    <n v="190"/>
    <n v="46740"/>
    <x v="2"/>
  </r>
  <r>
    <s v="ORD1094"/>
    <x v="94"/>
    <s v="USA"/>
    <s v="New York"/>
    <s v="Customer_133"/>
    <x v="9"/>
    <s v="White Chocolate"/>
    <s v="CrunchyJoy"/>
    <n v="257"/>
    <n v="317"/>
    <n v="81469"/>
    <x v="1"/>
  </r>
  <r>
    <s v="ORD1095"/>
    <x v="95"/>
    <s v="Canada"/>
    <s v="Toronto"/>
    <s v="Customer_140"/>
    <x v="3"/>
    <s v="Premium Truffle"/>
    <s v="CrunchyJoy"/>
    <n v="377"/>
    <n v="86"/>
    <n v="32422"/>
    <x v="3"/>
  </r>
  <r>
    <s v="ORD1096"/>
    <x v="96"/>
    <s v="Germany"/>
    <s v="Berlin"/>
    <s v="Customer_789"/>
    <x v="2"/>
    <s v="Dark Chocolate"/>
    <s v="TruffleBite"/>
    <n v="34"/>
    <n v="123"/>
    <n v="4182"/>
    <x v="1"/>
  </r>
  <r>
    <s v="ORD1097"/>
    <x v="97"/>
    <s v="Canada"/>
    <s v="Toronto"/>
    <s v="Customer_304"/>
    <x v="6"/>
    <s v="Premium Truffle"/>
    <s v="DarkMagic"/>
    <n v="83"/>
    <n v="122"/>
    <n v="10126"/>
    <x v="2"/>
  </r>
  <r>
    <s v="ORD1098"/>
    <x v="98"/>
    <s v="UAE"/>
    <s v="Sharjah"/>
    <s v="Customer_149"/>
    <x v="3"/>
    <s v="Milk Chocolate"/>
    <s v="CocoaTreat"/>
    <n v="215"/>
    <n v="357"/>
    <n v="76755"/>
    <x v="3"/>
  </r>
  <r>
    <s v="ORD1099"/>
    <x v="99"/>
    <s v="UAE"/>
    <s v="Sharjah"/>
    <s v="Customer_757"/>
    <x v="5"/>
    <s v="Milk Chocolate"/>
    <s v="ChocoLuxe"/>
    <n v="499"/>
    <n v="248"/>
    <n v="123752"/>
    <x v="3"/>
  </r>
  <r>
    <s v="ORD1100"/>
    <x v="100"/>
    <s v="Canada"/>
    <s v="Vancouver"/>
    <s v="Customer_838"/>
    <x v="7"/>
    <s v="Nutty Delight"/>
    <s v="SweetNuts"/>
    <n v="323"/>
    <n v="179"/>
    <n v="57817"/>
    <x v="0"/>
  </r>
  <r>
    <s v="ORD1101"/>
    <x v="101"/>
    <s v="UAE"/>
    <s v="Abu Dhabi"/>
    <s v="Customer_106"/>
    <x v="2"/>
    <s v="Nutty Delight"/>
    <s v="ChocoLuxe"/>
    <n v="103"/>
    <n v="295"/>
    <n v="30385"/>
    <x v="1"/>
  </r>
  <r>
    <s v="ORD1102"/>
    <x v="102"/>
    <s v="Germany"/>
    <s v="Berlin"/>
    <s v="Customer_727"/>
    <x v="0"/>
    <s v="White Chocolate"/>
    <s v="DarkMagic"/>
    <n v="384"/>
    <n v="361"/>
    <n v="138624"/>
    <x v="2"/>
  </r>
  <r>
    <s v="ORD1103"/>
    <x v="103"/>
    <s v="India"/>
    <s v="Bangalore"/>
    <s v="Customer_432"/>
    <x v="3"/>
    <s v="Premium Truffle"/>
    <s v="DarkMagic"/>
    <n v="136"/>
    <n v="109"/>
    <n v="14824"/>
    <x v="2"/>
  </r>
  <r>
    <s v="ORD1104"/>
    <x v="104"/>
    <s v="Canada"/>
    <s v="Montreal"/>
    <s v="Customer_933"/>
    <x v="6"/>
    <s v="Milk Chocolate"/>
    <s v="MilkyBar"/>
    <n v="434"/>
    <n v="328"/>
    <n v="142352"/>
    <x v="3"/>
  </r>
  <r>
    <s v="ORD1105"/>
    <x v="105"/>
    <s v="Australia"/>
    <s v="Brisbane"/>
    <s v="Customer_897"/>
    <x v="5"/>
    <s v="Nutty Delight"/>
    <s v="MilkyBar"/>
    <n v="34"/>
    <n v="152"/>
    <n v="5168"/>
    <x v="0"/>
  </r>
  <r>
    <s v="ORD1106"/>
    <x v="106"/>
    <s v="Australia"/>
    <s v="Melbourne"/>
    <s v="Customer_907"/>
    <x v="9"/>
    <s v="Premium Truffle"/>
    <s v="ChocoLuxe"/>
    <n v="343"/>
    <n v="345"/>
    <n v="118335"/>
    <x v="3"/>
  </r>
  <r>
    <s v="ORD1107"/>
    <x v="107"/>
    <s v="USA"/>
    <s v="Chicago"/>
    <s v="Customer_446"/>
    <x v="0"/>
    <s v="Nutty Delight"/>
    <s v="SweetNuts"/>
    <n v="364"/>
    <n v="369"/>
    <n v="134316"/>
    <x v="3"/>
  </r>
  <r>
    <s v="ORD1108"/>
    <x v="108"/>
    <s v="UAE"/>
    <s v="Sharjah"/>
    <s v="Customer_714"/>
    <x v="3"/>
    <s v="Nutty Delight"/>
    <s v="ChocoLuxe"/>
    <n v="125"/>
    <n v="390"/>
    <n v="48750"/>
    <x v="3"/>
  </r>
  <r>
    <s v="ORD1109"/>
    <x v="109"/>
    <s v="Australia"/>
    <s v="Brisbane"/>
    <s v="Customer_230"/>
    <x v="7"/>
    <s v="Milk Chocolate"/>
    <s v="DarkMagic"/>
    <n v="57"/>
    <n v="200"/>
    <n v="11400"/>
    <x v="3"/>
  </r>
  <r>
    <s v="ORD1110"/>
    <x v="110"/>
    <s v="USA"/>
    <s v="Los Angeles"/>
    <s v="Customer_151"/>
    <x v="0"/>
    <s v="Milk Chocolate"/>
    <s v="DarkMagic"/>
    <n v="235"/>
    <n v="206"/>
    <n v="48410"/>
    <x v="2"/>
  </r>
  <r>
    <s v="ORD1111"/>
    <x v="111"/>
    <s v="India"/>
    <s v="Hyderabad"/>
    <s v="Customer_124"/>
    <x v="5"/>
    <s v="Nutty Delight"/>
    <s v="TruffleBite"/>
    <n v="275"/>
    <n v="255"/>
    <n v="70125"/>
    <x v="2"/>
  </r>
  <r>
    <s v="ORD1112"/>
    <x v="112"/>
    <s v="Germany"/>
    <s v="Frankfurt"/>
    <s v="Customer_899"/>
    <x v="0"/>
    <s v="Dark Chocolate"/>
    <s v="MilkyBar"/>
    <n v="108"/>
    <n v="228"/>
    <n v="24624"/>
    <x v="3"/>
  </r>
  <r>
    <s v="ORD1113"/>
    <x v="113"/>
    <s v="Germany"/>
    <s v="Frankfurt"/>
    <s v="Customer_377"/>
    <x v="4"/>
    <s v="Nutty Delight"/>
    <s v="CocoaTreat"/>
    <n v="468"/>
    <n v="246"/>
    <n v="115128"/>
    <x v="3"/>
  </r>
  <r>
    <s v="ORD1114"/>
    <x v="114"/>
    <s v="Germany"/>
    <s v="Berlin"/>
    <s v="Customer_121"/>
    <x v="8"/>
    <s v="Nutty Delight"/>
    <s v="CocoaTreat"/>
    <n v="20"/>
    <n v="272"/>
    <n v="5440"/>
    <x v="0"/>
  </r>
  <r>
    <s v="ORD1115"/>
    <x v="115"/>
    <s v="Australia"/>
    <s v="Sydney"/>
    <s v="Customer_609"/>
    <x v="9"/>
    <s v="White Chocolate"/>
    <s v="CocoaTreat"/>
    <n v="94"/>
    <n v="138"/>
    <n v="12972"/>
    <x v="3"/>
  </r>
  <r>
    <s v="ORD1116"/>
    <x v="116"/>
    <s v="India"/>
    <s v="Hyderabad"/>
    <s v="Customer_462"/>
    <x v="5"/>
    <s v="White Chocolate"/>
    <s v="TruffleBite"/>
    <n v="414"/>
    <n v="336"/>
    <n v="139104"/>
    <x v="2"/>
  </r>
  <r>
    <s v="ORD1117"/>
    <x v="117"/>
    <s v="Australia"/>
    <s v="Melbourne"/>
    <s v="Customer_818"/>
    <x v="0"/>
    <s v="White Chocolate"/>
    <s v="Silk"/>
    <n v="223"/>
    <n v="483"/>
    <n v="107709"/>
    <x v="1"/>
  </r>
  <r>
    <s v="ORD1118"/>
    <x v="118"/>
    <s v="UAE"/>
    <s v="Sharjah"/>
    <s v="Customer_828"/>
    <x v="8"/>
    <s v="Dark Chocolate"/>
    <s v="CocoaTreat"/>
    <n v="182"/>
    <n v="325"/>
    <n v="59150"/>
    <x v="2"/>
  </r>
  <r>
    <s v="ORD1119"/>
    <x v="119"/>
    <s v="Australia"/>
    <s v="Brisbane"/>
    <s v="Customer_249"/>
    <x v="8"/>
    <s v="Dark Chocolate"/>
    <s v="DarkMagic"/>
    <n v="400"/>
    <n v="285"/>
    <n v="114000"/>
    <x v="0"/>
  </r>
  <r>
    <s v="ORD1120"/>
    <x v="120"/>
    <s v="India"/>
    <s v="Hyderabad"/>
    <s v="Customer_657"/>
    <x v="0"/>
    <s v="Nutty Delight"/>
    <s v="TruffleBite"/>
    <n v="218"/>
    <n v="232"/>
    <n v="50576"/>
    <x v="2"/>
  </r>
  <r>
    <s v="ORD1121"/>
    <x v="121"/>
    <s v="India"/>
    <s v="Chennai"/>
    <s v="Customer_888"/>
    <x v="7"/>
    <s v="White Chocolate"/>
    <s v="ChocoLuxe"/>
    <n v="457"/>
    <n v="258"/>
    <n v="117906"/>
    <x v="1"/>
  </r>
  <r>
    <s v="ORD1122"/>
    <x v="122"/>
    <s v="UAE"/>
    <s v="Abu Dhabi"/>
    <s v="Customer_484"/>
    <x v="4"/>
    <s v="Dark Chocolate"/>
    <s v="MilkyBar"/>
    <n v="391"/>
    <n v="179"/>
    <n v="69989"/>
    <x v="3"/>
  </r>
  <r>
    <s v="ORD1123"/>
    <x v="123"/>
    <s v="India"/>
    <s v="Mumbai"/>
    <s v="Customer_784"/>
    <x v="2"/>
    <s v="Milk Chocolate"/>
    <s v="MilkyBar"/>
    <n v="73"/>
    <n v="202"/>
    <n v="14746"/>
    <x v="1"/>
  </r>
  <r>
    <s v="ORD1124"/>
    <x v="124"/>
    <s v="India"/>
    <s v="Mumbai"/>
    <s v="Customer_538"/>
    <x v="4"/>
    <s v="Nutty Delight"/>
    <s v="SweetNuts"/>
    <n v="267"/>
    <n v="62"/>
    <n v="16554"/>
    <x v="3"/>
  </r>
  <r>
    <s v="ORD1125"/>
    <x v="125"/>
    <s v="Germany"/>
    <s v="Berlin"/>
    <s v="Customer_277"/>
    <x v="0"/>
    <s v="Premium Truffle"/>
    <s v="ChocoLuxe"/>
    <n v="341"/>
    <n v="171"/>
    <n v="58311"/>
    <x v="3"/>
  </r>
  <r>
    <s v="ORD1126"/>
    <x v="126"/>
    <s v="UAE"/>
    <s v="Dubai"/>
    <s v="Customer_783"/>
    <x v="9"/>
    <s v="Nutty Delight"/>
    <s v="SweetNuts"/>
    <n v="130"/>
    <n v="408"/>
    <n v="53040"/>
    <x v="2"/>
  </r>
  <r>
    <s v="ORD1127"/>
    <x v="127"/>
    <s v="UK"/>
    <s v="Birmingham"/>
    <s v="Customer_823"/>
    <x v="2"/>
    <s v="Premium Truffle"/>
    <s v="TruffleBite"/>
    <n v="307"/>
    <n v="269"/>
    <n v="82583"/>
    <x v="2"/>
  </r>
  <r>
    <s v="ORD1128"/>
    <x v="128"/>
    <s v="UK"/>
    <s v="Birmingham"/>
    <s v="Customer_220"/>
    <x v="5"/>
    <s v="White Chocolate"/>
    <s v="CrunchyJoy"/>
    <n v="475"/>
    <n v="155"/>
    <n v="73625"/>
    <x v="2"/>
  </r>
  <r>
    <s v="ORD1129"/>
    <x v="129"/>
    <s v="India"/>
    <s v="Mumbai"/>
    <s v="Customer_553"/>
    <x v="4"/>
    <s v="Premium Truffle"/>
    <s v="CocoaTreat"/>
    <n v="63"/>
    <n v="424"/>
    <n v="26712"/>
    <x v="0"/>
  </r>
  <r>
    <s v="ORD1130"/>
    <x v="130"/>
    <s v="UK"/>
    <s v="Manchester"/>
    <s v="Customer_194"/>
    <x v="0"/>
    <s v="White Chocolate"/>
    <s v="Silk"/>
    <n v="340"/>
    <n v="119"/>
    <n v="40460"/>
    <x v="2"/>
  </r>
  <r>
    <s v="ORD1131"/>
    <x v="131"/>
    <s v="UK"/>
    <s v="Liverpool"/>
    <s v="Customer_599"/>
    <x v="4"/>
    <s v="Milk Chocolate"/>
    <s v="ChocoLuxe"/>
    <n v="281"/>
    <n v="244"/>
    <n v="68564"/>
    <x v="0"/>
  </r>
  <r>
    <s v="ORD1132"/>
    <x v="132"/>
    <s v="India"/>
    <s v="Delhi"/>
    <s v="Customer_182"/>
    <x v="2"/>
    <s v="Premium Truffle"/>
    <s v="ChocoLuxe"/>
    <n v="250"/>
    <n v="235"/>
    <n v="58750"/>
    <x v="2"/>
  </r>
  <r>
    <s v="ORD1133"/>
    <x v="133"/>
    <s v="UK"/>
    <s v="Manchester"/>
    <s v="Customer_683"/>
    <x v="6"/>
    <s v="Nutty Delight"/>
    <s v="ChocoLuxe"/>
    <n v="252"/>
    <n v="148"/>
    <n v="37296"/>
    <x v="3"/>
  </r>
  <r>
    <s v="ORD1134"/>
    <x v="134"/>
    <s v="Australia"/>
    <s v="Sydney"/>
    <s v="Customer_304"/>
    <x v="3"/>
    <s v="White Chocolate"/>
    <s v="SweetNuts"/>
    <n v="27"/>
    <n v="131"/>
    <n v="3537"/>
    <x v="0"/>
  </r>
  <r>
    <s v="ORD1135"/>
    <x v="135"/>
    <s v="USA"/>
    <s v="Chicago"/>
    <s v="Customer_408"/>
    <x v="4"/>
    <s v="Nutty Delight"/>
    <s v="TruffleBite"/>
    <n v="492"/>
    <n v="124"/>
    <n v="61008"/>
    <x v="1"/>
  </r>
  <r>
    <s v="ORD1136"/>
    <x v="136"/>
    <s v="UAE"/>
    <s v="Abu Dhabi"/>
    <s v="Customer_380"/>
    <x v="5"/>
    <s v="Dark Chocolate"/>
    <s v="ChocoLuxe"/>
    <n v="196"/>
    <n v="423"/>
    <n v="82908"/>
    <x v="0"/>
  </r>
  <r>
    <s v="ORD1137"/>
    <x v="137"/>
    <s v="USA"/>
    <s v="New York"/>
    <s v="Customer_608"/>
    <x v="5"/>
    <s v="White Chocolate"/>
    <s v="CrunchyJoy"/>
    <n v="355"/>
    <n v="389"/>
    <n v="138095"/>
    <x v="0"/>
  </r>
  <r>
    <s v="ORD1138"/>
    <x v="138"/>
    <s v="India"/>
    <s v="Chennai"/>
    <s v="Customer_247"/>
    <x v="1"/>
    <s v="Premium Truffle"/>
    <s v="ChocoLuxe"/>
    <n v="153"/>
    <n v="241"/>
    <n v="36873"/>
    <x v="1"/>
  </r>
  <r>
    <s v="ORD1139"/>
    <x v="139"/>
    <s v="Germany"/>
    <s v="Frankfurt"/>
    <s v="Customer_349"/>
    <x v="4"/>
    <s v="White Chocolate"/>
    <s v="MilkyBar"/>
    <n v="271"/>
    <n v="374"/>
    <n v="101354"/>
    <x v="0"/>
  </r>
  <r>
    <s v="ORD1140"/>
    <x v="140"/>
    <s v="UAE"/>
    <s v="Sharjah"/>
    <s v="Customer_413"/>
    <x v="3"/>
    <s v="Nutty Delight"/>
    <s v="CocoaTreat"/>
    <n v="450"/>
    <n v="263"/>
    <n v="118350"/>
    <x v="3"/>
  </r>
  <r>
    <s v="ORD1141"/>
    <x v="141"/>
    <s v="India"/>
    <s v="Hyderabad"/>
    <s v="Customer_590"/>
    <x v="7"/>
    <s v="Milk Chocolate"/>
    <s v="Silk"/>
    <n v="373"/>
    <n v="364"/>
    <n v="135772"/>
    <x v="2"/>
  </r>
  <r>
    <s v="ORD1142"/>
    <x v="142"/>
    <s v="Germany"/>
    <s v="Berlin"/>
    <s v="Customer_277"/>
    <x v="8"/>
    <s v="White Chocolate"/>
    <s v="CocoaTreat"/>
    <n v="440"/>
    <n v="493"/>
    <n v="216920"/>
    <x v="1"/>
  </r>
  <r>
    <s v="ORD1143"/>
    <x v="143"/>
    <s v="USA"/>
    <s v="Houston"/>
    <s v="Customer_464"/>
    <x v="3"/>
    <s v="Premium Truffle"/>
    <s v="MilkyBar"/>
    <n v="248"/>
    <n v="431"/>
    <n v="106888"/>
    <x v="2"/>
  </r>
  <r>
    <s v="ORD1144"/>
    <x v="144"/>
    <s v="India"/>
    <s v="Chennai"/>
    <s v="Customer_510"/>
    <x v="8"/>
    <s v="Dark Chocolate"/>
    <s v="MilkyBar"/>
    <n v="313"/>
    <n v="416"/>
    <n v="130208"/>
    <x v="3"/>
  </r>
  <r>
    <s v="ORD1145"/>
    <x v="145"/>
    <s v="UAE"/>
    <s v="Dubai"/>
    <s v="Customer_989"/>
    <x v="8"/>
    <s v="Milk Chocolate"/>
    <s v="Silk"/>
    <n v="307"/>
    <n v="367"/>
    <n v="112669"/>
    <x v="1"/>
  </r>
  <r>
    <s v="ORD1146"/>
    <x v="146"/>
    <s v="UAE"/>
    <s v="Dubai"/>
    <s v="Customer_985"/>
    <x v="6"/>
    <s v="Dark Chocolate"/>
    <s v="CrunchyJoy"/>
    <n v="85"/>
    <n v="193"/>
    <n v="16405"/>
    <x v="2"/>
  </r>
  <r>
    <s v="ORD1147"/>
    <x v="147"/>
    <s v="Canada"/>
    <s v="Montreal"/>
    <s v="Customer_685"/>
    <x v="1"/>
    <s v="White Chocolate"/>
    <s v="TruffleBite"/>
    <n v="197"/>
    <n v="433"/>
    <n v="85301"/>
    <x v="2"/>
  </r>
  <r>
    <s v="ORD1148"/>
    <x v="148"/>
    <s v="Australia"/>
    <s v="Perth"/>
    <s v="Customer_780"/>
    <x v="3"/>
    <s v="Nutty Delight"/>
    <s v="MilkyBar"/>
    <n v="342"/>
    <n v="265"/>
    <n v="90630"/>
    <x v="3"/>
  </r>
  <r>
    <s v="ORD1149"/>
    <x v="149"/>
    <s v="UK"/>
    <s v="Liverpool"/>
    <s v="Customer_761"/>
    <x v="3"/>
    <s v="Nutty Delight"/>
    <s v="TruffleBite"/>
    <n v="397"/>
    <n v="410"/>
    <n v="162770"/>
    <x v="2"/>
  </r>
  <r>
    <s v="ORD1150"/>
    <x v="150"/>
    <s v="Germany"/>
    <s v="Berlin"/>
    <s v="Customer_901"/>
    <x v="6"/>
    <s v="Premium Truffle"/>
    <s v="MilkyBar"/>
    <n v="496"/>
    <n v="373"/>
    <n v="185008"/>
    <x v="3"/>
  </r>
  <r>
    <s v="ORD1151"/>
    <x v="151"/>
    <s v="Canada"/>
    <s v="Vancouver"/>
    <s v="Customer_796"/>
    <x v="4"/>
    <s v="Nutty Delight"/>
    <s v="DarkMagic"/>
    <n v="255"/>
    <n v="64"/>
    <n v="16320"/>
    <x v="0"/>
  </r>
  <r>
    <s v="ORD1152"/>
    <x v="152"/>
    <s v="UK"/>
    <s v="Birmingham"/>
    <s v="Customer_813"/>
    <x v="4"/>
    <s v="Milk Chocolate"/>
    <s v="Silk"/>
    <n v="139"/>
    <n v="266"/>
    <n v="36974"/>
    <x v="3"/>
  </r>
  <r>
    <s v="ORD1153"/>
    <x v="153"/>
    <s v="UK"/>
    <s v="Birmingham"/>
    <s v="Customer_499"/>
    <x v="4"/>
    <s v="Nutty Delight"/>
    <s v="MilkyBar"/>
    <n v="483"/>
    <n v="488"/>
    <n v="235704"/>
    <x v="0"/>
  </r>
  <r>
    <s v="ORD1154"/>
    <x v="154"/>
    <s v="India"/>
    <s v="Bangalore"/>
    <s v="Customer_577"/>
    <x v="9"/>
    <s v="Premium Truffle"/>
    <s v="DarkMagic"/>
    <n v="324"/>
    <n v="84"/>
    <n v="27216"/>
    <x v="1"/>
  </r>
  <r>
    <s v="ORD1155"/>
    <x v="155"/>
    <s v="UK"/>
    <s v="Birmingham"/>
    <s v="Customer_414"/>
    <x v="8"/>
    <s v="White Chocolate"/>
    <s v="CocoaTreat"/>
    <n v="420"/>
    <n v="232"/>
    <n v="97440"/>
    <x v="2"/>
  </r>
  <r>
    <s v="ORD1156"/>
    <x v="156"/>
    <s v="Australia"/>
    <s v="Perth"/>
    <s v="Customer_837"/>
    <x v="9"/>
    <s v="White Chocolate"/>
    <s v="SweetNuts"/>
    <n v="292"/>
    <n v="319"/>
    <n v="93148"/>
    <x v="3"/>
  </r>
  <r>
    <s v="ORD1157"/>
    <x v="157"/>
    <s v="UAE"/>
    <s v="Abu Dhabi"/>
    <s v="Customer_639"/>
    <x v="1"/>
    <s v="Nutty Delight"/>
    <s v="DarkMagic"/>
    <n v="88"/>
    <n v="482"/>
    <n v="42416"/>
    <x v="3"/>
  </r>
  <r>
    <s v="ORD1158"/>
    <x v="158"/>
    <s v="Canada"/>
    <s v="Montreal"/>
    <s v="Customer_339"/>
    <x v="6"/>
    <s v="Dark Chocolate"/>
    <s v="ChocoLuxe"/>
    <n v="81"/>
    <n v="407"/>
    <n v="32967"/>
    <x v="2"/>
  </r>
  <r>
    <s v="ORD1159"/>
    <x v="159"/>
    <s v="UK"/>
    <s v="Birmingham"/>
    <s v="Customer_429"/>
    <x v="3"/>
    <s v="White Chocolate"/>
    <s v="MilkyBar"/>
    <n v="272"/>
    <n v="149"/>
    <n v="40528"/>
    <x v="2"/>
  </r>
  <r>
    <s v="ORD1160"/>
    <x v="160"/>
    <s v="India"/>
    <s v="Chennai"/>
    <s v="Customer_299"/>
    <x v="8"/>
    <s v="Nutty Delight"/>
    <s v="DarkMagic"/>
    <n v="200"/>
    <n v="56"/>
    <n v="11200"/>
    <x v="1"/>
  </r>
  <r>
    <s v="ORD1161"/>
    <x v="161"/>
    <s v="Australia"/>
    <s v="Perth"/>
    <s v="Customer_998"/>
    <x v="9"/>
    <s v="Premium Truffle"/>
    <s v="TruffleBite"/>
    <n v="376"/>
    <n v="79"/>
    <n v="29704"/>
    <x v="1"/>
  </r>
  <r>
    <s v="ORD1162"/>
    <x v="162"/>
    <s v="USA"/>
    <s v="Chicago"/>
    <s v="Customer_855"/>
    <x v="9"/>
    <s v="Nutty Delight"/>
    <s v="SweetNuts"/>
    <n v="384"/>
    <n v="354"/>
    <n v="135936"/>
    <x v="3"/>
  </r>
  <r>
    <s v="ORD1163"/>
    <x v="163"/>
    <s v="UAE"/>
    <s v="Abu Dhabi"/>
    <s v="Customer_297"/>
    <x v="0"/>
    <s v="White Chocolate"/>
    <s v="CrunchyJoy"/>
    <n v="439"/>
    <n v="193"/>
    <n v="84727"/>
    <x v="1"/>
  </r>
  <r>
    <s v="ORD1164"/>
    <x v="164"/>
    <s v="UAE"/>
    <s v="Abu Dhabi"/>
    <s v="Customer_700"/>
    <x v="9"/>
    <s v="Premium Truffle"/>
    <s v="MilkyBar"/>
    <n v="72"/>
    <n v="160"/>
    <n v="11520"/>
    <x v="0"/>
  </r>
  <r>
    <s v="ORD1165"/>
    <x v="165"/>
    <s v="Canada"/>
    <s v="Calgary"/>
    <s v="Customer_998"/>
    <x v="7"/>
    <s v="Nutty Delight"/>
    <s v="ChocoLuxe"/>
    <n v="497"/>
    <n v="281"/>
    <n v="139657"/>
    <x v="1"/>
  </r>
  <r>
    <s v="ORD1166"/>
    <x v="166"/>
    <s v="UAE"/>
    <s v="Abu Dhabi"/>
    <s v="Customer_289"/>
    <x v="3"/>
    <s v="Milk Chocolate"/>
    <s v="CrunchyJoy"/>
    <n v="389"/>
    <n v="228"/>
    <n v="88692"/>
    <x v="1"/>
  </r>
  <r>
    <s v="ORD1167"/>
    <x v="167"/>
    <s v="UK"/>
    <s v="Manchester"/>
    <s v="Customer_760"/>
    <x v="7"/>
    <s v="Premium Truffle"/>
    <s v="DarkMagic"/>
    <n v="21"/>
    <n v="121"/>
    <n v="2541"/>
    <x v="3"/>
  </r>
  <r>
    <s v="ORD1168"/>
    <x v="168"/>
    <s v="India"/>
    <s v="Delhi"/>
    <s v="Customer_155"/>
    <x v="3"/>
    <s v="Milk Chocolate"/>
    <s v="CrunchyJoy"/>
    <n v="150"/>
    <n v="259"/>
    <n v="38850"/>
    <x v="0"/>
  </r>
  <r>
    <s v="ORD1169"/>
    <x v="169"/>
    <s v="UAE"/>
    <s v="Abu Dhabi"/>
    <s v="Customer_953"/>
    <x v="6"/>
    <s v="Dark Chocolate"/>
    <s v="CrunchyJoy"/>
    <n v="263"/>
    <n v="269"/>
    <n v="70747"/>
    <x v="1"/>
  </r>
  <r>
    <s v="ORD1170"/>
    <x v="170"/>
    <s v="UAE"/>
    <s v="Sharjah"/>
    <s v="Customer_449"/>
    <x v="3"/>
    <s v="Premium Truffle"/>
    <s v="SweetNuts"/>
    <n v="52"/>
    <n v="129"/>
    <n v="6708"/>
    <x v="0"/>
  </r>
  <r>
    <s v="ORD1171"/>
    <x v="171"/>
    <s v="USA"/>
    <s v="Houston"/>
    <s v="Customer_309"/>
    <x v="7"/>
    <s v="Milk Chocolate"/>
    <s v="CocoaTreat"/>
    <n v="26"/>
    <n v="132"/>
    <n v="3432"/>
    <x v="0"/>
  </r>
  <r>
    <s v="ORD1172"/>
    <x v="172"/>
    <s v="USA"/>
    <s v="Los Angeles"/>
    <s v="Customer_658"/>
    <x v="3"/>
    <s v="White Chocolate"/>
    <s v="CrunchyJoy"/>
    <n v="72"/>
    <n v="91"/>
    <n v="6552"/>
    <x v="0"/>
  </r>
  <r>
    <s v="ORD1173"/>
    <x v="173"/>
    <s v="Germany"/>
    <s v="Berlin"/>
    <s v="Customer_801"/>
    <x v="6"/>
    <s v="White Chocolate"/>
    <s v="CrunchyJoy"/>
    <n v="262"/>
    <n v="322"/>
    <n v="84364"/>
    <x v="2"/>
  </r>
  <r>
    <s v="ORD1174"/>
    <x v="174"/>
    <s v="Australia"/>
    <s v="Perth"/>
    <s v="Customer_395"/>
    <x v="6"/>
    <s v="Dark Chocolate"/>
    <s v="MilkyBar"/>
    <n v="474"/>
    <n v="240"/>
    <n v="113760"/>
    <x v="2"/>
  </r>
  <r>
    <s v="ORD1175"/>
    <x v="175"/>
    <s v="UK"/>
    <s v="Manchester"/>
    <s v="Customer_236"/>
    <x v="1"/>
    <s v="Premium Truffle"/>
    <s v="CocoaTreat"/>
    <n v="385"/>
    <n v="222"/>
    <n v="85470"/>
    <x v="2"/>
  </r>
  <r>
    <s v="ORD1176"/>
    <x v="176"/>
    <s v="UAE"/>
    <s v="Abu Dhabi"/>
    <s v="Customer_600"/>
    <x v="3"/>
    <s v="Premium Truffle"/>
    <s v="SweetNuts"/>
    <n v="301"/>
    <n v="56"/>
    <n v="16856"/>
    <x v="2"/>
  </r>
  <r>
    <s v="ORD1177"/>
    <x v="177"/>
    <s v="UAE"/>
    <s v="Dubai"/>
    <s v="Customer_322"/>
    <x v="0"/>
    <s v="Premium Truffle"/>
    <s v="ChocoLuxe"/>
    <n v="478"/>
    <n v="204"/>
    <n v="97512"/>
    <x v="3"/>
  </r>
  <r>
    <s v="ORD1178"/>
    <x v="178"/>
    <s v="India"/>
    <s v="Mumbai"/>
    <s v="Customer_925"/>
    <x v="4"/>
    <s v="Dark Chocolate"/>
    <s v="DarkMagic"/>
    <n v="17"/>
    <n v="59"/>
    <n v="1003"/>
    <x v="1"/>
  </r>
  <r>
    <s v="ORD1179"/>
    <x v="179"/>
    <s v="Germany"/>
    <s v="Frankfurt"/>
    <s v="Customer_669"/>
    <x v="5"/>
    <s v="Premium Truffle"/>
    <s v="SweetNuts"/>
    <n v="334"/>
    <n v="83"/>
    <n v="27722"/>
    <x v="2"/>
  </r>
  <r>
    <s v="ORD1180"/>
    <x v="180"/>
    <s v="Australia"/>
    <s v="Perth"/>
    <s v="Customer_729"/>
    <x v="6"/>
    <s v="White Chocolate"/>
    <s v="SweetNuts"/>
    <n v="99"/>
    <n v="85"/>
    <n v="8415"/>
    <x v="3"/>
  </r>
  <r>
    <s v="ORD1181"/>
    <x v="181"/>
    <s v="Germany"/>
    <s v="Hamburg"/>
    <s v="Customer_313"/>
    <x v="2"/>
    <s v="Milk Chocolate"/>
    <s v="Silk"/>
    <n v="217"/>
    <n v="458"/>
    <n v="99386"/>
    <x v="1"/>
  </r>
  <r>
    <s v="ORD1182"/>
    <x v="182"/>
    <s v="Canada"/>
    <s v="Montreal"/>
    <s v="Customer_758"/>
    <x v="4"/>
    <s v="White Chocolate"/>
    <s v="SweetNuts"/>
    <n v="301"/>
    <n v="55"/>
    <n v="16555"/>
    <x v="2"/>
  </r>
  <r>
    <s v="ORD1183"/>
    <x v="183"/>
    <s v="Australia"/>
    <s v="Perth"/>
    <s v="Customer_276"/>
    <x v="8"/>
    <s v="White Chocolate"/>
    <s v="CocoaTreat"/>
    <n v="293"/>
    <n v="457"/>
    <n v="133901"/>
    <x v="1"/>
  </r>
  <r>
    <s v="ORD1184"/>
    <x v="184"/>
    <s v="UAE"/>
    <s v="Dubai"/>
    <s v="Customer_299"/>
    <x v="3"/>
    <s v="Milk Chocolate"/>
    <s v="Silk"/>
    <n v="127"/>
    <n v="451"/>
    <n v="57277"/>
    <x v="2"/>
  </r>
  <r>
    <s v="ORD1185"/>
    <x v="185"/>
    <s v="UAE"/>
    <s v="Dubai"/>
    <s v="Customer_321"/>
    <x v="7"/>
    <s v="White Chocolate"/>
    <s v="DarkMagic"/>
    <n v="358"/>
    <n v="264"/>
    <n v="94512"/>
    <x v="3"/>
  </r>
  <r>
    <s v="ORD1186"/>
    <x v="186"/>
    <s v="Australia"/>
    <s v="Perth"/>
    <s v="Customer_417"/>
    <x v="5"/>
    <s v="Dark Chocolate"/>
    <s v="CrunchyJoy"/>
    <n v="184"/>
    <n v="183"/>
    <n v="33672"/>
    <x v="0"/>
  </r>
  <r>
    <s v="ORD1187"/>
    <x v="187"/>
    <s v="UAE"/>
    <s v="Sharjah"/>
    <s v="Customer_715"/>
    <x v="2"/>
    <s v="Milk Chocolate"/>
    <s v="MilkyBar"/>
    <n v="85"/>
    <n v="334"/>
    <n v="28390"/>
    <x v="0"/>
  </r>
  <r>
    <s v="ORD1188"/>
    <x v="188"/>
    <s v="UK"/>
    <s v="Manchester"/>
    <s v="Customer_768"/>
    <x v="4"/>
    <s v="White Chocolate"/>
    <s v="MilkyBar"/>
    <n v="110"/>
    <n v="175"/>
    <n v="19250"/>
    <x v="1"/>
  </r>
  <r>
    <s v="ORD1189"/>
    <x v="189"/>
    <s v="Australia"/>
    <s v="Sydney"/>
    <s v="Customer_126"/>
    <x v="3"/>
    <s v="Nutty Delight"/>
    <s v="DarkMagic"/>
    <n v="423"/>
    <n v="458"/>
    <n v="193734"/>
    <x v="3"/>
  </r>
  <r>
    <s v="ORD1190"/>
    <x v="190"/>
    <s v="Germany"/>
    <s v="Hamburg"/>
    <s v="Customer_349"/>
    <x v="1"/>
    <s v="White Chocolate"/>
    <s v="DarkMagic"/>
    <n v="160"/>
    <n v="488"/>
    <n v="78080"/>
    <x v="0"/>
  </r>
  <r>
    <s v="ORD1191"/>
    <x v="191"/>
    <s v="Australia"/>
    <s v="Brisbane"/>
    <s v="Customer_904"/>
    <x v="8"/>
    <s v="Dark Chocolate"/>
    <s v="CocoaTreat"/>
    <n v="409"/>
    <n v="386"/>
    <n v="157874"/>
    <x v="2"/>
  </r>
  <r>
    <s v="ORD1192"/>
    <x v="192"/>
    <s v="UAE"/>
    <s v="Abu Dhabi"/>
    <s v="Customer_631"/>
    <x v="5"/>
    <s v="Premium Truffle"/>
    <s v="TruffleBite"/>
    <n v="279"/>
    <n v="223"/>
    <n v="62217"/>
    <x v="0"/>
  </r>
  <r>
    <s v="ORD1193"/>
    <x v="193"/>
    <s v="UK"/>
    <s v="London"/>
    <s v="Customer_120"/>
    <x v="0"/>
    <s v="White Chocolate"/>
    <s v="CrunchyJoy"/>
    <n v="467"/>
    <n v="201"/>
    <n v="93867"/>
    <x v="1"/>
  </r>
  <r>
    <s v="ORD1194"/>
    <x v="194"/>
    <s v="UK"/>
    <s v="Manchester"/>
    <s v="Customer_576"/>
    <x v="1"/>
    <s v="Premium Truffle"/>
    <s v="DarkMagic"/>
    <n v="80"/>
    <n v="380"/>
    <n v="30400"/>
    <x v="1"/>
  </r>
  <r>
    <s v="ORD1195"/>
    <x v="195"/>
    <s v="Canada"/>
    <s v="Montreal"/>
    <s v="Customer_606"/>
    <x v="2"/>
    <s v="Nutty Delight"/>
    <s v="SweetNuts"/>
    <n v="189"/>
    <n v="75"/>
    <n v="14175"/>
    <x v="3"/>
  </r>
  <r>
    <s v="ORD1196"/>
    <x v="196"/>
    <s v="Germany"/>
    <s v="Berlin"/>
    <s v="Customer_375"/>
    <x v="5"/>
    <s v="White Chocolate"/>
    <s v="CocoaTreat"/>
    <n v="133"/>
    <n v="432"/>
    <n v="57456"/>
    <x v="1"/>
  </r>
  <r>
    <s v="ORD1197"/>
    <x v="197"/>
    <s v="USA"/>
    <s v="New York"/>
    <s v="Customer_726"/>
    <x v="1"/>
    <s v="Milk Chocolate"/>
    <s v="MilkyBar"/>
    <n v="390"/>
    <n v="164"/>
    <n v="63960"/>
    <x v="0"/>
  </r>
  <r>
    <s v="ORD1198"/>
    <x v="198"/>
    <s v="USA"/>
    <s v="Chicago"/>
    <s v="Customer_632"/>
    <x v="8"/>
    <s v="Premium Truffle"/>
    <s v="ChocoLuxe"/>
    <n v="302"/>
    <n v="431"/>
    <n v="130162"/>
    <x v="0"/>
  </r>
  <r>
    <s v="ORD1199"/>
    <x v="199"/>
    <s v="Australia"/>
    <s v="Brisbane"/>
    <s v="Customer_891"/>
    <x v="0"/>
    <s v="Nutty Delight"/>
    <s v="CocoaTreat"/>
    <n v="294"/>
    <n v="333"/>
    <n v="97902"/>
    <x v="0"/>
  </r>
  <r>
    <s v="ORD1200"/>
    <x v="200"/>
    <s v="Canada"/>
    <s v="Toronto"/>
    <s v="Customer_273"/>
    <x v="1"/>
    <s v="Milk Chocolate"/>
    <s v="MilkyBar"/>
    <n v="204"/>
    <n v="436"/>
    <n v="88944"/>
    <x v="0"/>
  </r>
  <r>
    <s v="ORD1201"/>
    <x v="201"/>
    <s v="India"/>
    <s v="Chennai"/>
    <s v="Customer_850"/>
    <x v="9"/>
    <s v="Milk Chocolate"/>
    <s v="Silk"/>
    <n v="408"/>
    <n v="124"/>
    <n v="50592"/>
    <x v="3"/>
  </r>
  <r>
    <s v="ORD1202"/>
    <x v="202"/>
    <s v="Australia"/>
    <s v="Sydney"/>
    <s v="Customer_470"/>
    <x v="0"/>
    <s v="Milk Chocolate"/>
    <s v="CocoaTreat"/>
    <n v="237"/>
    <n v="215"/>
    <n v="50955"/>
    <x v="2"/>
  </r>
  <r>
    <s v="ORD1203"/>
    <x v="203"/>
    <s v="Canada"/>
    <s v="Vancouver"/>
    <s v="Customer_175"/>
    <x v="2"/>
    <s v="Milk Chocolate"/>
    <s v="MilkyBar"/>
    <n v="440"/>
    <n v="238"/>
    <n v="104720"/>
    <x v="2"/>
  </r>
  <r>
    <s v="ORD1204"/>
    <x v="204"/>
    <s v="Germany"/>
    <s v="Munich"/>
    <s v="Customer_480"/>
    <x v="8"/>
    <s v="White Chocolate"/>
    <s v="TruffleBite"/>
    <n v="439"/>
    <n v="127"/>
    <n v="55753"/>
    <x v="3"/>
  </r>
  <r>
    <s v="ORD1205"/>
    <x v="205"/>
    <s v="Germany"/>
    <s v="Hamburg"/>
    <s v="Customer_381"/>
    <x v="3"/>
    <s v="White Chocolate"/>
    <s v="CocoaTreat"/>
    <n v="445"/>
    <n v="484"/>
    <n v="215380"/>
    <x v="1"/>
  </r>
  <r>
    <s v="ORD1206"/>
    <x v="206"/>
    <s v="Germany"/>
    <s v="Munich"/>
    <s v="Customer_767"/>
    <x v="7"/>
    <s v="White Chocolate"/>
    <s v="CocoaTreat"/>
    <n v="284"/>
    <n v="139"/>
    <n v="39476"/>
    <x v="2"/>
  </r>
  <r>
    <s v="ORD1207"/>
    <x v="207"/>
    <s v="Germany"/>
    <s v="Frankfurt"/>
    <s v="Customer_577"/>
    <x v="7"/>
    <s v="Nutty Delight"/>
    <s v="CrunchyJoy"/>
    <n v="470"/>
    <n v="225"/>
    <n v="105750"/>
    <x v="1"/>
  </r>
  <r>
    <s v="ORD1208"/>
    <x v="208"/>
    <s v="Germany"/>
    <s v="Berlin"/>
    <s v="Customer_150"/>
    <x v="7"/>
    <s v="Nutty Delight"/>
    <s v="DarkMagic"/>
    <n v="115"/>
    <n v="70"/>
    <n v="8050"/>
    <x v="2"/>
  </r>
  <r>
    <s v="ORD1209"/>
    <x v="209"/>
    <s v="Canada"/>
    <s v="Toronto"/>
    <s v="Customer_567"/>
    <x v="5"/>
    <s v="Nutty Delight"/>
    <s v="CrunchyJoy"/>
    <n v="30"/>
    <n v="103"/>
    <n v="3090"/>
    <x v="1"/>
  </r>
  <r>
    <s v="ORD1210"/>
    <x v="210"/>
    <s v="Canada"/>
    <s v="Montreal"/>
    <s v="Customer_663"/>
    <x v="2"/>
    <s v="Dark Chocolate"/>
    <s v="CocoaTreat"/>
    <n v="73"/>
    <n v="233"/>
    <n v="17009"/>
    <x v="3"/>
  </r>
  <r>
    <s v="ORD1211"/>
    <x v="211"/>
    <s v="UK"/>
    <s v="Manchester"/>
    <s v="Customer_720"/>
    <x v="8"/>
    <s v="Nutty Delight"/>
    <s v="DarkMagic"/>
    <n v="174"/>
    <n v="408"/>
    <n v="70992"/>
    <x v="0"/>
  </r>
  <r>
    <s v="ORD1212"/>
    <x v="212"/>
    <s v="USA"/>
    <s v="Chicago"/>
    <s v="Customer_544"/>
    <x v="0"/>
    <s v="White Chocolate"/>
    <s v="MilkyBar"/>
    <n v="36"/>
    <n v="271"/>
    <n v="9756"/>
    <x v="1"/>
  </r>
  <r>
    <s v="ORD1213"/>
    <x v="213"/>
    <s v="UAE"/>
    <s v="Sharjah"/>
    <s v="Customer_267"/>
    <x v="5"/>
    <s v="White Chocolate"/>
    <s v="ChocoLuxe"/>
    <n v="320"/>
    <n v="364"/>
    <n v="116480"/>
    <x v="0"/>
  </r>
  <r>
    <s v="ORD1214"/>
    <x v="214"/>
    <s v="Germany"/>
    <s v="Berlin"/>
    <s v="Customer_447"/>
    <x v="2"/>
    <s v="Dark Chocolate"/>
    <s v="ChocoLuxe"/>
    <n v="294"/>
    <n v="377"/>
    <n v="110838"/>
    <x v="1"/>
  </r>
  <r>
    <s v="ORD1215"/>
    <x v="215"/>
    <s v="India"/>
    <s v="Mumbai"/>
    <s v="Customer_433"/>
    <x v="3"/>
    <s v="Dark Chocolate"/>
    <s v="CocoaTreat"/>
    <n v="157"/>
    <n v="228"/>
    <n v="35796"/>
    <x v="1"/>
  </r>
  <r>
    <s v="ORD1216"/>
    <x v="216"/>
    <s v="UAE"/>
    <s v="Dubai"/>
    <s v="Customer_591"/>
    <x v="9"/>
    <s v="Nutty Delight"/>
    <s v="TruffleBite"/>
    <n v="290"/>
    <n v="325"/>
    <n v="94250"/>
    <x v="1"/>
  </r>
  <r>
    <s v="ORD1217"/>
    <x v="217"/>
    <s v="Canada"/>
    <s v="Toronto"/>
    <s v="Customer_658"/>
    <x v="8"/>
    <s v="Premium Truffle"/>
    <s v="Silk"/>
    <n v="335"/>
    <n v="161"/>
    <n v="53935"/>
    <x v="1"/>
  </r>
  <r>
    <s v="ORD1218"/>
    <x v="218"/>
    <s v="India"/>
    <s v="Delhi"/>
    <s v="Customer_990"/>
    <x v="7"/>
    <s v="Dark Chocolate"/>
    <s v="MilkyBar"/>
    <n v="328"/>
    <n v="273"/>
    <n v="89544"/>
    <x v="1"/>
  </r>
  <r>
    <s v="ORD1219"/>
    <x v="219"/>
    <s v="India"/>
    <s v="Hyderabad"/>
    <s v="Customer_664"/>
    <x v="1"/>
    <s v="Milk Chocolate"/>
    <s v="DarkMagic"/>
    <n v="173"/>
    <n v="263"/>
    <n v="45499"/>
    <x v="0"/>
  </r>
  <r>
    <s v="ORD1220"/>
    <x v="220"/>
    <s v="India"/>
    <s v="Mumbai"/>
    <s v="Customer_525"/>
    <x v="8"/>
    <s v="White Chocolate"/>
    <s v="CocoaTreat"/>
    <n v="395"/>
    <n v="108"/>
    <n v="42660"/>
    <x v="1"/>
  </r>
  <r>
    <s v="ORD1221"/>
    <x v="221"/>
    <s v="UK"/>
    <s v="London"/>
    <s v="Customer_662"/>
    <x v="6"/>
    <s v="Milk Chocolate"/>
    <s v="MilkyBar"/>
    <n v="415"/>
    <n v="376"/>
    <n v="156040"/>
    <x v="0"/>
  </r>
  <r>
    <s v="ORD1222"/>
    <x v="222"/>
    <s v="Canada"/>
    <s v="Vancouver"/>
    <s v="Customer_304"/>
    <x v="2"/>
    <s v="White Chocolate"/>
    <s v="CocoaTreat"/>
    <n v="233"/>
    <n v="442"/>
    <n v="102986"/>
    <x v="3"/>
  </r>
  <r>
    <s v="ORD1223"/>
    <x v="223"/>
    <s v="India"/>
    <s v="Mumbai"/>
    <s v="Customer_203"/>
    <x v="4"/>
    <s v="White Chocolate"/>
    <s v="TruffleBite"/>
    <n v="281"/>
    <n v="158"/>
    <n v="44398"/>
    <x v="2"/>
  </r>
  <r>
    <s v="ORD1224"/>
    <x v="224"/>
    <s v="Germany"/>
    <s v="Frankfurt"/>
    <s v="Customer_870"/>
    <x v="3"/>
    <s v="Dark Chocolate"/>
    <s v="SweetNuts"/>
    <n v="155"/>
    <n v="434"/>
    <n v="67270"/>
    <x v="1"/>
  </r>
  <r>
    <s v="ORD1225"/>
    <x v="225"/>
    <s v="Australia"/>
    <s v="Brisbane"/>
    <s v="Customer_784"/>
    <x v="9"/>
    <s v="Dark Chocolate"/>
    <s v="SweetNuts"/>
    <n v="462"/>
    <n v="206"/>
    <n v="95172"/>
    <x v="2"/>
  </r>
  <r>
    <s v="ORD1226"/>
    <x v="226"/>
    <s v="India"/>
    <s v="Hyderabad"/>
    <s v="Customer_909"/>
    <x v="3"/>
    <s v="Milk Chocolate"/>
    <s v="TruffleBite"/>
    <n v="447"/>
    <n v="240"/>
    <n v="107280"/>
    <x v="0"/>
  </r>
  <r>
    <s v="ORD1227"/>
    <x v="227"/>
    <s v="UK"/>
    <s v="London"/>
    <s v="Customer_607"/>
    <x v="8"/>
    <s v="White Chocolate"/>
    <s v="DarkMagic"/>
    <n v="365"/>
    <n v="249"/>
    <n v="90885"/>
    <x v="3"/>
  </r>
  <r>
    <s v="ORD1228"/>
    <x v="228"/>
    <s v="UAE"/>
    <s v="Abu Dhabi"/>
    <s v="Customer_821"/>
    <x v="4"/>
    <s v="Milk Chocolate"/>
    <s v="CrunchyJoy"/>
    <n v="39"/>
    <n v="361"/>
    <n v="14079"/>
    <x v="3"/>
  </r>
  <r>
    <s v="ORD1229"/>
    <x v="229"/>
    <s v="Canada"/>
    <s v="Montreal"/>
    <s v="Customer_266"/>
    <x v="6"/>
    <s v="Premium Truffle"/>
    <s v="TruffleBite"/>
    <n v="54"/>
    <n v="245"/>
    <n v="13230"/>
    <x v="3"/>
  </r>
  <r>
    <s v="ORD1230"/>
    <x v="230"/>
    <s v="UK"/>
    <s v="Manchester"/>
    <s v="Customer_904"/>
    <x v="0"/>
    <s v="Milk Chocolate"/>
    <s v="CocoaTreat"/>
    <n v="284"/>
    <n v="84"/>
    <n v="23856"/>
    <x v="2"/>
  </r>
  <r>
    <s v="ORD1231"/>
    <x v="231"/>
    <s v="India"/>
    <s v="Delhi"/>
    <s v="Customer_999"/>
    <x v="1"/>
    <s v="Nutty Delight"/>
    <s v="DarkMagic"/>
    <n v="480"/>
    <n v="428"/>
    <n v="205440"/>
    <x v="0"/>
  </r>
  <r>
    <s v="ORD1232"/>
    <x v="232"/>
    <s v="Canada"/>
    <s v="Montreal"/>
    <s v="Customer_880"/>
    <x v="4"/>
    <s v="Milk Chocolate"/>
    <s v="ChocoLuxe"/>
    <n v="43"/>
    <n v="436"/>
    <n v="18748"/>
    <x v="1"/>
  </r>
  <r>
    <s v="ORD1233"/>
    <x v="233"/>
    <s v="Australia"/>
    <s v="Melbourne"/>
    <s v="Customer_170"/>
    <x v="2"/>
    <s v="Nutty Delight"/>
    <s v="TruffleBite"/>
    <n v="150"/>
    <n v="295"/>
    <n v="44250"/>
    <x v="1"/>
  </r>
  <r>
    <s v="ORD1234"/>
    <x v="234"/>
    <s v="India"/>
    <s v="Bangalore"/>
    <s v="Customer_673"/>
    <x v="7"/>
    <s v="Nutty Delight"/>
    <s v="DarkMagic"/>
    <n v="436"/>
    <n v="286"/>
    <n v="124696"/>
    <x v="0"/>
  </r>
  <r>
    <s v="ORD1235"/>
    <x v="235"/>
    <s v="UK"/>
    <s v="Manchester"/>
    <s v="Customer_945"/>
    <x v="6"/>
    <s v="Nutty Delight"/>
    <s v="TruffleBite"/>
    <n v="327"/>
    <n v="153"/>
    <n v="50031"/>
    <x v="2"/>
  </r>
  <r>
    <s v="ORD1236"/>
    <x v="236"/>
    <s v="USA"/>
    <s v="Chicago"/>
    <s v="Customer_609"/>
    <x v="1"/>
    <s v="Premium Truffle"/>
    <s v="TruffleBite"/>
    <n v="383"/>
    <n v="56"/>
    <n v="21448"/>
    <x v="1"/>
  </r>
  <r>
    <s v="ORD1237"/>
    <x v="237"/>
    <s v="Germany"/>
    <s v="Berlin"/>
    <s v="Customer_343"/>
    <x v="9"/>
    <s v="Milk Chocolate"/>
    <s v="CrunchyJoy"/>
    <n v="230"/>
    <n v="332"/>
    <n v="76360"/>
    <x v="0"/>
  </r>
  <r>
    <s v="ORD1238"/>
    <x v="238"/>
    <s v="UAE"/>
    <s v="Sharjah"/>
    <s v="Customer_406"/>
    <x v="7"/>
    <s v="Milk Chocolate"/>
    <s v="CrunchyJoy"/>
    <n v="365"/>
    <n v="50"/>
    <n v="18250"/>
    <x v="1"/>
  </r>
  <r>
    <s v="ORD1239"/>
    <x v="239"/>
    <s v="UK"/>
    <s v="Birmingham"/>
    <s v="Customer_787"/>
    <x v="8"/>
    <s v="Premium Truffle"/>
    <s v="CocoaTreat"/>
    <n v="31"/>
    <n v="268"/>
    <n v="8308"/>
    <x v="3"/>
  </r>
  <r>
    <s v="ORD1240"/>
    <x v="240"/>
    <s v="Canada"/>
    <s v="Calgary"/>
    <s v="Customer_751"/>
    <x v="4"/>
    <s v="White Chocolate"/>
    <s v="DarkMagic"/>
    <n v="189"/>
    <n v="279"/>
    <n v="52731"/>
    <x v="1"/>
  </r>
  <r>
    <s v="ORD1241"/>
    <x v="241"/>
    <s v="India"/>
    <s v="Bangalore"/>
    <s v="Customer_654"/>
    <x v="1"/>
    <s v="Dark Chocolate"/>
    <s v="DarkMagic"/>
    <n v="445"/>
    <n v="221"/>
    <n v="98345"/>
    <x v="2"/>
  </r>
  <r>
    <s v="ORD1242"/>
    <x v="242"/>
    <s v="Germany"/>
    <s v="Frankfurt"/>
    <s v="Customer_807"/>
    <x v="5"/>
    <s v="Milk Chocolate"/>
    <s v="Silk"/>
    <n v="376"/>
    <n v="136"/>
    <n v="51136"/>
    <x v="0"/>
  </r>
  <r>
    <s v="ORD1243"/>
    <x v="243"/>
    <s v="India"/>
    <s v="Mumbai"/>
    <s v="Customer_126"/>
    <x v="0"/>
    <s v="Dark Chocolate"/>
    <s v="TruffleBite"/>
    <n v="429"/>
    <n v="90"/>
    <n v="38610"/>
    <x v="2"/>
  </r>
  <r>
    <s v="ORD1244"/>
    <x v="244"/>
    <s v="Canada"/>
    <s v="Montreal"/>
    <s v="Customer_514"/>
    <x v="0"/>
    <s v="Premium Truffle"/>
    <s v="SweetNuts"/>
    <n v="338"/>
    <n v="172"/>
    <n v="58136"/>
    <x v="0"/>
  </r>
  <r>
    <s v="ORD1245"/>
    <x v="245"/>
    <s v="India"/>
    <s v="Hyderabad"/>
    <s v="Customer_105"/>
    <x v="6"/>
    <s v="White Chocolate"/>
    <s v="TruffleBite"/>
    <n v="240"/>
    <n v="380"/>
    <n v="91200"/>
    <x v="3"/>
  </r>
  <r>
    <s v="ORD1246"/>
    <x v="246"/>
    <s v="USA"/>
    <s v="San Francisco"/>
    <s v="Customer_439"/>
    <x v="9"/>
    <s v="White Chocolate"/>
    <s v="TruffleBite"/>
    <n v="412"/>
    <n v="347"/>
    <n v="142964"/>
    <x v="0"/>
  </r>
  <r>
    <s v="ORD1247"/>
    <x v="247"/>
    <s v="Germany"/>
    <s v="Hamburg"/>
    <s v="Customer_926"/>
    <x v="6"/>
    <s v="White Chocolate"/>
    <s v="DarkMagic"/>
    <n v="47"/>
    <n v="422"/>
    <n v="19834"/>
    <x v="1"/>
  </r>
  <r>
    <s v="ORD1248"/>
    <x v="248"/>
    <s v="Germany"/>
    <s v="Berlin"/>
    <s v="Customer_374"/>
    <x v="5"/>
    <s v="Premium Truffle"/>
    <s v="TruffleBite"/>
    <n v="79"/>
    <n v="466"/>
    <n v="36814"/>
    <x v="1"/>
  </r>
  <r>
    <s v="ORD1249"/>
    <x v="249"/>
    <s v="Canada"/>
    <s v="Toronto"/>
    <s v="Customer_958"/>
    <x v="2"/>
    <s v="Nutty Delight"/>
    <s v="MilkyBar"/>
    <n v="125"/>
    <n v="227"/>
    <n v="28375"/>
    <x v="3"/>
  </r>
  <r>
    <s v="ORD1250"/>
    <x v="250"/>
    <s v="UAE"/>
    <s v="Dubai"/>
    <s v="Customer_677"/>
    <x v="9"/>
    <s v="Nutty Delight"/>
    <s v="TruffleBite"/>
    <n v="248"/>
    <n v="112"/>
    <n v="27776"/>
    <x v="0"/>
  </r>
  <r>
    <s v="ORD1251"/>
    <x v="251"/>
    <s v="USA"/>
    <s v="Chicago"/>
    <s v="Customer_195"/>
    <x v="3"/>
    <s v="Dark Chocolate"/>
    <s v="MilkyBar"/>
    <n v="344"/>
    <n v="214"/>
    <n v="73616"/>
    <x v="3"/>
  </r>
  <r>
    <s v="ORD1252"/>
    <x v="252"/>
    <s v="UK"/>
    <s v="Manchester"/>
    <s v="Customer_686"/>
    <x v="2"/>
    <s v="Nutty Delight"/>
    <s v="CrunchyJoy"/>
    <n v="450"/>
    <n v="236"/>
    <n v="106200"/>
    <x v="1"/>
  </r>
  <r>
    <s v="ORD1253"/>
    <x v="253"/>
    <s v="India"/>
    <s v="Delhi"/>
    <s v="Customer_487"/>
    <x v="9"/>
    <s v="Nutty Delight"/>
    <s v="SweetNuts"/>
    <n v="157"/>
    <n v="432"/>
    <n v="67824"/>
    <x v="2"/>
  </r>
  <r>
    <s v="ORD1254"/>
    <x v="254"/>
    <s v="Australia"/>
    <s v="Perth"/>
    <s v="Customer_811"/>
    <x v="9"/>
    <s v="White Chocolate"/>
    <s v="CocoaTreat"/>
    <n v="18"/>
    <n v="258"/>
    <n v="4644"/>
    <x v="3"/>
  </r>
  <r>
    <s v="ORD1255"/>
    <x v="255"/>
    <s v="India"/>
    <s v="Delhi"/>
    <s v="Customer_980"/>
    <x v="5"/>
    <s v="White Chocolate"/>
    <s v="DarkMagic"/>
    <n v="297"/>
    <n v="276"/>
    <n v="81972"/>
    <x v="2"/>
  </r>
  <r>
    <s v="ORD1256"/>
    <x v="256"/>
    <s v="India"/>
    <s v="Chennai"/>
    <s v="Customer_471"/>
    <x v="8"/>
    <s v="Dark Chocolate"/>
    <s v="TruffleBite"/>
    <n v="397"/>
    <n v="481"/>
    <n v="190957"/>
    <x v="2"/>
  </r>
  <r>
    <s v="ORD1257"/>
    <x v="257"/>
    <s v="UK"/>
    <s v="London"/>
    <s v="Customer_719"/>
    <x v="5"/>
    <s v="Milk Chocolate"/>
    <s v="MilkyBar"/>
    <n v="59"/>
    <n v="438"/>
    <n v="25842"/>
    <x v="0"/>
  </r>
  <r>
    <s v="ORD1258"/>
    <x v="258"/>
    <s v="India"/>
    <s v="Mumbai"/>
    <s v="Customer_957"/>
    <x v="9"/>
    <s v="Dark Chocolate"/>
    <s v="MilkyBar"/>
    <n v="347"/>
    <n v="97"/>
    <n v="33659"/>
    <x v="3"/>
  </r>
  <r>
    <s v="ORD1259"/>
    <x v="259"/>
    <s v="USA"/>
    <s v="Houston"/>
    <s v="Customer_806"/>
    <x v="1"/>
    <s v="Dark Chocolate"/>
    <s v="CrunchyJoy"/>
    <n v="14"/>
    <n v="273"/>
    <n v="3822"/>
    <x v="2"/>
  </r>
  <r>
    <s v="ORD1260"/>
    <x v="260"/>
    <s v="USA"/>
    <s v="New York"/>
    <s v="Customer_589"/>
    <x v="2"/>
    <s v="Premium Truffle"/>
    <s v="MilkyBar"/>
    <n v="413"/>
    <n v="52"/>
    <n v="21476"/>
    <x v="2"/>
  </r>
  <r>
    <s v="ORD1261"/>
    <x v="261"/>
    <s v="Germany"/>
    <s v="Berlin"/>
    <s v="Customer_314"/>
    <x v="5"/>
    <s v="Premium Truffle"/>
    <s v="CocoaTreat"/>
    <n v="352"/>
    <n v="421"/>
    <n v="148192"/>
    <x v="0"/>
  </r>
  <r>
    <s v="ORD1262"/>
    <x v="262"/>
    <s v="Canada"/>
    <s v="Calgary"/>
    <s v="Customer_150"/>
    <x v="8"/>
    <s v="Dark Chocolate"/>
    <s v="ChocoLuxe"/>
    <n v="135"/>
    <n v="224"/>
    <n v="30240"/>
    <x v="0"/>
  </r>
  <r>
    <s v="ORD1263"/>
    <x v="263"/>
    <s v="UAE"/>
    <s v="Abu Dhabi"/>
    <s v="Customer_270"/>
    <x v="4"/>
    <s v="Dark Chocolate"/>
    <s v="Silk"/>
    <n v="84"/>
    <n v="495"/>
    <n v="41580"/>
    <x v="1"/>
  </r>
  <r>
    <s v="ORD1264"/>
    <x v="264"/>
    <s v="Australia"/>
    <s v="Melbourne"/>
    <s v="Customer_212"/>
    <x v="6"/>
    <s v="Dark Chocolate"/>
    <s v="CocoaTreat"/>
    <n v="174"/>
    <n v="148"/>
    <n v="25752"/>
    <x v="2"/>
  </r>
  <r>
    <s v="ORD1265"/>
    <x v="265"/>
    <s v="India"/>
    <s v="Hyderabad"/>
    <s v="Customer_672"/>
    <x v="9"/>
    <s v="Nutty Delight"/>
    <s v="SweetNuts"/>
    <n v="287"/>
    <n v="165"/>
    <n v="47355"/>
    <x v="1"/>
  </r>
  <r>
    <s v="ORD1266"/>
    <x v="266"/>
    <s v="India"/>
    <s v="Chennai"/>
    <s v="Customer_683"/>
    <x v="3"/>
    <s v="Premium Truffle"/>
    <s v="CocoaTreat"/>
    <n v="451"/>
    <n v="319"/>
    <n v="143869"/>
    <x v="2"/>
  </r>
  <r>
    <s v="ORD1267"/>
    <x v="267"/>
    <s v="UK"/>
    <s v="Liverpool"/>
    <s v="Customer_394"/>
    <x v="4"/>
    <s v="Dark Chocolate"/>
    <s v="CrunchyJoy"/>
    <n v="333"/>
    <n v="496"/>
    <n v="165168"/>
    <x v="1"/>
  </r>
  <r>
    <s v="ORD1268"/>
    <x v="268"/>
    <s v="Canada"/>
    <s v="Toronto"/>
    <s v="Customer_887"/>
    <x v="0"/>
    <s v="White Chocolate"/>
    <s v="CrunchyJoy"/>
    <n v="486"/>
    <n v="417"/>
    <n v="202662"/>
    <x v="0"/>
  </r>
  <r>
    <s v="ORD1269"/>
    <x v="269"/>
    <s v="USA"/>
    <s v="New York"/>
    <s v="Customer_555"/>
    <x v="7"/>
    <s v="White Chocolate"/>
    <s v="CocoaTreat"/>
    <n v="309"/>
    <n v="302"/>
    <n v="93318"/>
    <x v="3"/>
  </r>
  <r>
    <s v="ORD1270"/>
    <x v="270"/>
    <s v="Australia"/>
    <s v="Perth"/>
    <s v="Customer_930"/>
    <x v="8"/>
    <s v="Nutty Delight"/>
    <s v="TruffleBite"/>
    <n v="299"/>
    <n v="366"/>
    <n v="109434"/>
    <x v="0"/>
  </r>
  <r>
    <s v="ORD1271"/>
    <x v="271"/>
    <s v="Germany"/>
    <s v="Berlin"/>
    <s v="Customer_970"/>
    <x v="3"/>
    <s v="Nutty Delight"/>
    <s v="ChocoLuxe"/>
    <n v="86"/>
    <n v="464"/>
    <n v="39904"/>
    <x v="1"/>
  </r>
  <r>
    <s v="ORD1272"/>
    <x v="272"/>
    <s v="USA"/>
    <s v="Chicago"/>
    <s v="Customer_919"/>
    <x v="7"/>
    <s v="Milk Chocolate"/>
    <s v="TruffleBite"/>
    <n v="307"/>
    <n v="144"/>
    <n v="44208"/>
    <x v="1"/>
  </r>
  <r>
    <s v="ORD1273"/>
    <x v="273"/>
    <s v="Canada"/>
    <s v="Montreal"/>
    <s v="Customer_318"/>
    <x v="8"/>
    <s v="Milk Chocolate"/>
    <s v="TruffleBite"/>
    <n v="146"/>
    <n v="322"/>
    <n v="47012"/>
    <x v="3"/>
  </r>
  <r>
    <s v="ORD1274"/>
    <x v="274"/>
    <s v="UAE"/>
    <s v="Sharjah"/>
    <s v="Customer_674"/>
    <x v="1"/>
    <s v="Milk Chocolate"/>
    <s v="CocoaTreat"/>
    <n v="115"/>
    <n v="429"/>
    <n v="49335"/>
    <x v="2"/>
  </r>
  <r>
    <s v="ORD1275"/>
    <x v="275"/>
    <s v="Germany"/>
    <s v="Munich"/>
    <s v="Customer_352"/>
    <x v="6"/>
    <s v="Nutty Delight"/>
    <s v="DarkMagic"/>
    <n v="104"/>
    <n v="73"/>
    <n v="7592"/>
    <x v="1"/>
  </r>
  <r>
    <s v="ORD1276"/>
    <x v="276"/>
    <s v="UAE"/>
    <s v="Abu Dhabi"/>
    <s v="Customer_920"/>
    <x v="4"/>
    <s v="Nutty Delight"/>
    <s v="DarkMagic"/>
    <n v="144"/>
    <n v="165"/>
    <n v="23760"/>
    <x v="1"/>
  </r>
  <r>
    <s v="ORD1277"/>
    <x v="277"/>
    <s v="UK"/>
    <s v="London"/>
    <s v="Customer_149"/>
    <x v="2"/>
    <s v="Nutty Delight"/>
    <s v="DarkMagic"/>
    <n v="77"/>
    <n v="200"/>
    <n v="15400"/>
    <x v="1"/>
  </r>
  <r>
    <s v="ORD1278"/>
    <x v="278"/>
    <s v="UK"/>
    <s v="London"/>
    <s v="Customer_512"/>
    <x v="8"/>
    <s v="White Chocolate"/>
    <s v="ChocoLuxe"/>
    <n v="156"/>
    <n v="387"/>
    <n v="60372"/>
    <x v="3"/>
  </r>
  <r>
    <s v="ORD1279"/>
    <x v="279"/>
    <s v="India"/>
    <s v="Chennai"/>
    <s v="Customer_913"/>
    <x v="2"/>
    <s v="Nutty Delight"/>
    <s v="TruffleBite"/>
    <n v="499"/>
    <n v="99"/>
    <n v="49401"/>
    <x v="0"/>
  </r>
  <r>
    <s v="ORD1280"/>
    <x v="280"/>
    <s v="UAE"/>
    <s v="Dubai"/>
    <s v="Customer_857"/>
    <x v="6"/>
    <s v="White Chocolate"/>
    <s v="Silk"/>
    <n v="487"/>
    <n v="255"/>
    <n v="124185"/>
    <x v="1"/>
  </r>
  <r>
    <s v="ORD1281"/>
    <x v="281"/>
    <s v="Canada"/>
    <s v="Vancouver"/>
    <s v="Customer_949"/>
    <x v="9"/>
    <s v="Milk Chocolate"/>
    <s v="SweetNuts"/>
    <n v="168"/>
    <n v="384"/>
    <n v="64512"/>
    <x v="3"/>
  </r>
  <r>
    <s v="ORD1282"/>
    <x v="282"/>
    <s v="Australia"/>
    <s v="Perth"/>
    <s v="Customer_326"/>
    <x v="0"/>
    <s v="Milk Chocolate"/>
    <s v="DarkMagic"/>
    <n v="393"/>
    <n v="128"/>
    <n v="50304"/>
    <x v="1"/>
  </r>
  <r>
    <s v="ORD1283"/>
    <x v="283"/>
    <s v="Germany"/>
    <s v="Hamburg"/>
    <s v="Customer_779"/>
    <x v="4"/>
    <s v="Milk Chocolate"/>
    <s v="DarkMagic"/>
    <n v="172"/>
    <n v="119"/>
    <n v="20468"/>
    <x v="2"/>
  </r>
  <r>
    <s v="ORD1284"/>
    <x v="284"/>
    <s v="USA"/>
    <s v="Chicago"/>
    <s v="Customer_800"/>
    <x v="6"/>
    <s v="Dark Chocolate"/>
    <s v="CrunchyJoy"/>
    <n v="450"/>
    <n v="76"/>
    <n v="34200"/>
    <x v="3"/>
  </r>
  <r>
    <s v="ORD1285"/>
    <x v="285"/>
    <s v="Canada"/>
    <s v="Vancouver"/>
    <s v="Customer_537"/>
    <x v="6"/>
    <s v="Dark Chocolate"/>
    <s v="TruffleBite"/>
    <n v="350"/>
    <n v="320"/>
    <n v="112000"/>
    <x v="1"/>
  </r>
  <r>
    <s v="ORD1286"/>
    <x v="286"/>
    <s v="Canada"/>
    <s v="Toronto"/>
    <s v="Customer_252"/>
    <x v="1"/>
    <s v="Premium Truffle"/>
    <s v="TruffleBite"/>
    <n v="198"/>
    <n v="99"/>
    <n v="19602"/>
    <x v="3"/>
  </r>
  <r>
    <s v="ORD1287"/>
    <x v="287"/>
    <s v="UK"/>
    <s v="Manchester"/>
    <s v="Customer_429"/>
    <x v="7"/>
    <s v="Premium Truffle"/>
    <s v="ChocoLuxe"/>
    <n v="424"/>
    <n v="341"/>
    <n v="144584"/>
    <x v="1"/>
  </r>
  <r>
    <s v="ORD1288"/>
    <x v="288"/>
    <s v="UAE"/>
    <s v="Sharjah"/>
    <s v="Customer_637"/>
    <x v="0"/>
    <s v="Premium Truffle"/>
    <s v="ChocoLuxe"/>
    <n v="348"/>
    <n v="296"/>
    <n v="103008"/>
    <x v="0"/>
  </r>
  <r>
    <s v="ORD1289"/>
    <x v="289"/>
    <s v="India"/>
    <s v="Delhi"/>
    <s v="Customer_783"/>
    <x v="4"/>
    <s v="Dark Chocolate"/>
    <s v="DarkMagic"/>
    <n v="104"/>
    <n v="313"/>
    <n v="32552"/>
    <x v="1"/>
  </r>
  <r>
    <s v="ORD1290"/>
    <x v="290"/>
    <s v="India"/>
    <s v="Delhi"/>
    <s v="Customer_368"/>
    <x v="9"/>
    <s v="Dark Chocolate"/>
    <s v="TruffleBite"/>
    <n v="190"/>
    <n v="128"/>
    <n v="24320"/>
    <x v="3"/>
  </r>
  <r>
    <s v="ORD1291"/>
    <x v="291"/>
    <s v="Germany"/>
    <s v="Munich"/>
    <s v="Customer_881"/>
    <x v="9"/>
    <s v="Premium Truffle"/>
    <s v="Silk"/>
    <n v="297"/>
    <n v="436"/>
    <n v="129492"/>
    <x v="2"/>
  </r>
  <r>
    <s v="ORD1292"/>
    <x v="292"/>
    <s v="UK"/>
    <s v="Liverpool"/>
    <s v="Customer_456"/>
    <x v="5"/>
    <s v="Premium Truffle"/>
    <s v="SweetNuts"/>
    <n v="331"/>
    <n v="239"/>
    <n v="79109"/>
    <x v="2"/>
  </r>
  <r>
    <s v="ORD1293"/>
    <x v="293"/>
    <s v="Canada"/>
    <s v="Toronto"/>
    <s v="Customer_554"/>
    <x v="6"/>
    <s v="Nutty Delight"/>
    <s v="CocoaTreat"/>
    <n v="196"/>
    <n v="96"/>
    <n v="18816"/>
    <x v="2"/>
  </r>
  <r>
    <s v="ORD1294"/>
    <x v="294"/>
    <s v="Australia"/>
    <s v="Melbourne"/>
    <s v="Customer_786"/>
    <x v="8"/>
    <s v="Premium Truffle"/>
    <s v="TruffleBite"/>
    <n v="381"/>
    <n v="410"/>
    <n v="156210"/>
    <x v="1"/>
  </r>
  <r>
    <s v="ORD1295"/>
    <x v="295"/>
    <s v="UK"/>
    <s v="Manchester"/>
    <s v="Customer_797"/>
    <x v="1"/>
    <s v="Nutty Delight"/>
    <s v="CrunchyJoy"/>
    <n v="147"/>
    <n v="403"/>
    <n v="59241"/>
    <x v="0"/>
  </r>
  <r>
    <s v="ORD1296"/>
    <x v="296"/>
    <s v="Germany"/>
    <s v="Munich"/>
    <s v="Customer_267"/>
    <x v="0"/>
    <s v="White Chocolate"/>
    <s v="CocoaTreat"/>
    <n v="139"/>
    <n v="401"/>
    <n v="55739"/>
    <x v="1"/>
  </r>
  <r>
    <s v="ORD1297"/>
    <x v="297"/>
    <s v="Germany"/>
    <s v="Frankfurt"/>
    <s v="Customer_501"/>
    <x v="9"/>
    <s v="Dark Chocolate"/>
    <s v="TruffleBite"/>
    <n v="203"/>
    <n v="238"/>
    <n v="48314"/>
    <x v="2"/>
  </r>
  <r>
    <s v="ORD1298"/>
    <x v="298"/>
    <s v="UK"/>
    <s v="Birmingham"/>
    <s v="Customer_570"/>
    <x v="4"/>
    <s v="Premium Truffle"/>
    <s v="MilkyBar"/>
    <n v="325"/>
    <n v="465"/>
    <n v="151125"/>
    <x v="3"/>
  </r>
  <r>
    <s v="ORD1299"/>
    <x v="299"/>
    <s v="Germany"/>
    <s v="Hamburg"/>
    <s v="Customer_227"/>
    <x v="5"/>
    <s v="Dark Chocolate"/>
    <s v="ChocoLuxe"/>
    <n v="481"/>
    <n v="305"/>
    <n v="146705"/>
    <x v="2"/>
  </r>
  <r>
    <s v="ORD1300"/>
    <x v="300"/>
    <s v="UK"/>
    <s v="London"/>
    <s v="Customer_752"/>
    <x v="4"/>
    <s v="Dark Chocolate"/>
    <s v="CrunchyJoy"/>
    <n v="282"/>
    <n v="271"/>
    <n v="76422"/>
    <x v="3"/>
  </r>
  <r>
    <s v="ORD1301"/>
    <x v="301"/>
    <s v="USA"/>
    <s v="San Francisco"/>
    <s v="Customer_739"/>
    <x v="1"/>
    <s v="Dark Chocolate"/>
    <s v="SweetNuts"/>
    <n v="361"/>
    <n v="421"/>
    <n v="151981"/>
    <x v="0"/>
  </r>
  <r>
    <s v="ORD1302"/>
    <x v="302"/>
    <s v="UK"/>
    <s v="Birmingham"/>
    <s v="Customer_530"/>
    <x v="8"/>
    <s v="White Chocolate"/>
    <s v="DarkMagic"/>
    <n v="153"/>
    <n v="290"/>
    <n v="44370"/>
    <x v="3"/>
  </r>
  <r>
    <s v="ORD1303"/>
    <x v="303"/>
    <s v="UAE"/>
    <s v="Sharjah"/>
    <s v="Customer_572"/>
    <x v="5"/>
    <s v="Milk Chocolate"/>
    <s v="CrunchyJoy"/>
    <n v="25"/>
    <n v="318"/>
    <n v="7950"/>
    <x v="1"/>
  </r>
  <r>
    <s v="ORD1304"/>
    <x v="304"/>
    <s v="UK"/>
    <s v="Birmingham"/>
    <s v="Customer_574"/>
    <x v="5"/>
    <s v="Premium Truffle"/>
    <s v="TruffleBite"/>
    <n v="311"/>
    <n v="50"/>
    <n v="15550"/>
    <x v="1"/>
  </r>
  <r>
    <s v="ORD1305"/>
    <x v="305"/>
    <s v="Germany"/>
    <s v="Hamburg"/>
    <s v="Customer_887"/>
    <x v="7"/>
    <s v="Milk Chocolate"/>
    <s v="DarkMagic"/>
    <n v="432"/>
    <n v="83"/>
    <n v="35856"/>
    <x v="1"/>
  </r>
  <r>
    <s v="ORD1306"/>
    <x v="306"/>
    <s v="UAE"/>
    <s v="Abu Dhabi"/>
    <s v="Customer_129"/>
    <x v="0"/>
    <s v="Milk Chocolate"/>
    <s v="TruffleBite"/>
    <n v="254"/>
    <n v="495"/>
    <n v="125730"/>
    <x v="3"/>
  </r>
  <r>
    <s v="ORD1307"/>
    <x v="307"/>
    <s v="Germany"/>
    <s v="Munich"/>
    <s v="Customer_350"/>
    <x v="5"/>
    <s v="Milk Chocolate"/>
    <s v="DarkMagic"/>
    <n v="424"/>
    <n v="128"/>
    <n v="54272"/>
    <x v="1"/>
  </r>
  <r>
    <s v="ORD1308"/>
    <x v="308"/>
    <s v="India"/>
    <s v="Bangalore"/>
    <s v="Customer_985"/>
    <x v="7"/>
    <s v="Dark Chocolate"/>
    <s v="SweetNuts"/>
    <n v="116"/>
    <n v="285"/>
    <n v="33060"/>
    <x v="1"/>
  </r>
  <r>
    <s v="ORD1309"/>
    <x v="309"/>
    <s v="India"/>
    <s v="Delhi"/>
    <s v="Customer_810"/>
    <x v="7"/>
    <s v="Nutty Delight"/>
    <s v="ChocoLuxe"/>
    <n v="97"/>
    <n v="383"/>
    <n v="37151"/>
    <x v="1"/>
  </r>
  <r>
    <s v="ORD1310"/>
    <x v="310"/>
    <s v="UAE"/>
    <s v="Dubai"/>
    <s v="Customer_228"/>
    <x v="1"/>
    <s v="Dark Chocolate"/>
    <s v="SweetNuts"/>
    <n v="138"/>
    <n v="426"/>
    <n v="58788"/>
    <x v="0"/>
  </r>
  <r>
    <s v="ORD1311"/>
    <x v="311"/>
    <s v="USA"/>
    <s v="Houston"/>
    <s v="Customer_751"/>
    <x v="2"/>
    <s v="Dark Chocolate"/>
    <s v="MilkyBar"/>
    <n v="404"/>
    <n v="398"/>
    <n v="160792"/>
    <x v="3"/>
  </r>
  <r>
    <s v="ORD1312"/>
    <x v="312"/>
    <s v="India"/>
    <s v="Delhi"/>
    <s v="Customer_808"/>
    <x v="4"/>
    <s v="Milk Chocolate"/>
    <s v="Silk"/>
    <n v="384"/>
    <n v="147"/>
    <n v="56448"/>
    <x v="3"/>
  </r>
  <r>
    <s v="ORD1313"/>
    <x v="313"/>
    <s v="UK"/>
    <s v="Birmingham"/>
    <s v="Customer_457"/>
    <x v="8"/>
    <s v="Dark Chocolate"/>
    <s v="ChocoLuxe"/>
    <n v="350"/>
    <n v="131"/>
    <n v="45850"/>
    <x v="2"/>
  </r>
  <r>
    <s v="ORD1314"/>
    <x v="314"/>
    <s v="Germany"/>
    <s v="Berlin"/>
    <s v="Customer_268"/>
    <x v="3"/>
    <s v="Milk Chocolate"/>
    <s v="SweetNuts"/>
    <n v="13"/>
    <n v="464"/>
    <n v="6032"/>
    <x v="3"/>
  </r>
  <r>
    <s v="ORD1315"/>
    <x v="315"/>
    <s v="India"/>
    <s v="Mumbai"/>
    <s v="Customer_187"/>
    <x v="4"/>
    <s v="Nutty Delight"/>
    <s v="MilkyBar"/>
    <n v="336"/>
    <n v="241"/>
    <n v="80976"/>
    <x v="0"/>
  </r>
  <r>
    <s v="ORD1316"/>
    <x v="316"/>
    <s v="India"/>
    <s v="Mumbai"/>
    <s v="Customer_423"/>
    <x v="5"/>
    <s v="Premium Truffle"/>
    <s v="Silk"/>
    <n v="419"/>
    <n v="302"/>
    <n v="126538"/>
    <x v="3"/>
  </r>
  <r>
    <s v="ORD1317"/>
    <x v="317"/>
    <s v="USA"/>
    <s v="Chicago"/>
    <s v="Customer_757"/>
    <x v="8"/>
    <s v="Milk Chocolate"/>
    <s v="MilkyBar"/>
    <n v="376"/>
    <n v="458"/>
    <n v="172208"/>
    <x v="0"/>
  </r>
  <r>
    <s v="ORD1318"/>
    <x v="318"/>
    <s v="UAE"/>
    <s v="Sharjah"/>
    <s v="Customer_112"/>
    <x v="9"/>
    <s v="Nutty Delight"/>
    <s v="TruffleBite"/>
    <n v="315"/>
    <n v="87"/>
    <n v="27405"/>
    <x v="0"/>
  </r>
  <r>
    <s v="ORD1319"/>
    <x v="319"/>
    <s v="UAE"/>
    <s v="Sharjah"/>
    <s v="Customer_838"/>
    <x v="2"/>
    <s v="Premium Truffle"/>
    <s v="CocoaTreat"/>
    <n v="405"/>
    <n v="63"/>
    <n v="25515"/>
    <x v="3"/>
  </r>
  <r>
    <s v="ORD1320"/>
    <x v="320"/>
    <s v="Canada"/>
    <s v="Montreal"/>
    <s v="Customer_400"/>
    <x v="9"/>
    <s v="White Chocolate"/>
    <s v="TruffleBite"/>
    <n v="104"/>
    <n v="441"/>
    <n v="45864"/>
    <x v="2"/>
  </r>
  <r>
    <s v="ORD1321"/>
    <x v="321"/>
    <s v="USA"/>
    <s v="San Francisco"/>
    <s v="Customer_244"/>
    <x v="9"/>
    <s v="Milk Chocolate"/>
    <s v="DarkMagic"/>
    <n v="218"/>
    <n v="396"/>
    <n v="86328"/>
    <x v="1"/>
  </r>
  <r>
    <s v="ORD1322"/>
    <x v="322"/>
    <s v="UK"/>
    <s v="Liverpool"/>
    <s v="Customer_547"/>
    <x v="0"/>
    <s v="Milk Chocolate"/>
    <s v="ChocoLuxe"/>
    <n v="234"/>
    <n v="359"/>
    <n v="84006"/>
    <x v="1"/>
  </r>
  <r>
    <s v="ORD1323"/>
    <x v="323"/>
    <s v="UAE"/>
    <s v="Abu Dhabi"/>
    <s v="Customer_916"/>
    <x v="4"/>
    <s v="White Chocolate"/>
    <s v="TruffleBite"/>
    <n v="468"/>
    <n v="435"/>
    <n v="203580"/>
    <x v="3"/>
  </r>
  <r>
    <s v="ORD1324"/>
    <x v="324"/>
    <s v="Germany"/>
    <s v="Berlin"/>
    <s v="Customer_219"/>
    <x v="3"/>
    <s v="White Chocolate"/>
    <s v="CrunchyJoy"/>
    <n v="357"/>
    <n v="258"/>
    <n v="92106"/>
    <x v="3"/>
  </r>
  <r>
    <s v="ORD1325"/>
    <x v="325"/>
    <s v="USA"/>
    <s v="San Francisco"/>
    <s v="Customer_240"/>
    <x v="1"/>
    <s v="Milk Chocolate"/>
    <s v="MilkyBar"/>
    <n v="489"/>
    <n v="406"/>
    <n v="198534"/>
    <x v="0"/>
  </r>
  <r>
    <s v="ORD1326"/>
    <x v="326"/>
    <s v="India"/>
    <s v="Bangalore"/>
    <s v="Customer_328"/>
    <x v="3"/>
    <s v="White Chocolate"/>
    <s v="ChocoLuxe"/>
    <n v="330"/>
    <n v="138"/>
    <n v="45540"/>
    <x v="3"/>
  </r>
  <r>
    <s v="ORD1327"/>
    <x v="327"/>
    <s v="Germany"/>
    <s v="Frankfurt"/>
    <s v="Customer_542"/>
    <x v="9"/>
    <s v="Dark Chocolate"/>
    <s v="CocoaTreat"/>
    <n v="56"/>
    <n v="105"/>
    <n v="5880"/>
    <x v="0"/>
  </r>
  <r>
    <s v="ORD1328"/>
    <x v="328"/>
    <s v="Germany"/>
    <s v="Berlin"/>
    <s v="Customer_689"/>
    <x v="5"/>
    <s v="Premium Truffle"/>
    <s v="CrunchyJoy"/>
    <n v="485"/>
    <n v="143"/>
    <n v="69355"/>
    <x v="2"/>
  </r>
  <r>
    <s v="ORD1329"/>
    <x v="329"/>
    <s v="India"/>
    <s v="Hyderabad"/>
    <s v="Customer_970"/>
    <x v="2"/>
    <s v="Premium Truffle"/>
    <s v="TruffleBite"/>
    <n v="190"/>
    <n v="142"/>
    <n v="26980"/>
    <x v="3"/>
  </r>
  <r>
    <s v="ORD1330"/>
    <x v="330"/>
    <s v="USA"/>
    <s v="Los Angeles"/>
    <s v="Customer_432"/>
    <x v="6"/>
    <s v="Premium Truffle"/>
    <s v="DarkMagic"/>
    <n v="115"/>
    <n v="389"/>
    <n v="44735"/>
    <x v="1"/>
  </r>
  <r>
    <s v="ORD1331"/>
    <x v="331"/>
    <s v="India"/>
    <s v="Bangalore"/>
    <s v="Customer_827"/>
    <x v="3"/>
    <s v="Dark Chocolate"/>
    <s v="SweetNuts"/>
    <n v="208"/>
    <n v="134"/>
    <n v="27872"/>
    <x v="1"/>
  </r>
  <r>
    <s v="ORD1332"/>
    <x v="332"/>
    <s v="Canada"/>
    <s v="Calgary"/>
    <s v="Customer_273"/>
    <x v="9"/>
    <s v="White Chocolate"/>
    <s v="DarkMagic"/>
    <n v="395"/>
    <n v="494"/>
    <n v="195130"/>
    <x v="3"/>
  </r>
  <r>
    <s v="ORD1333"/>
    <x v="333"/>
    <s v="Germany"/>
    <s v="Hamburg"/>
    <s v="Customer_811"/>
    <x v="2"/>
    <s v="Nutty Delight"/>
    <s v="CrunchyJoy"/>
    <n v="115"/>
    <n v="294"/>
    <n v="33810"/>
    <x v="0"/>
  </r>
  <r>
    <s v="ORD1334"/>
    <x v="334"/>
    <s v="Australia"/>
    <s v="Melbourne"/>
    <s v="Customer_180"/>
    <x v="8"/>
    <s v="White Chocolate"/>
    <s v="Silk"/>
    <n v="289"/>
    <n v="71"/>
    <n v="20519"/>
    <x v="1"/>
  </r>
  <r>
    <s v="ORD1335"/>
    <x v="335"/>
    <s v="Australia"/>
    <s v="Perth"/>
    <s v="Customer_681"/>
    <x v="4"/>
    <s v="Milk Chocolate"/>
    <s v="TruffleBite"/>
    <n v="269"/>
    <n v="340"/>
    <n v="91460"/>
    <x v="0"/>
  </r>
  <r>
    <s v="ORD1336"/>
    <x v="336"/>
    <s v="UK"/>
    <s v="Liverpool"/>
    <s v="Customer_620"/>
    <x v="7"/>
    <s v="Premium Truffle"/>
    <s v="CrunchyJoy"/>
    <n v="117"/>
    <n v="321"/>
    <n v="37557"/>
    <x v="3"/>
  </r>
  <r>
    <s v="ORD1337"/>
    <x v="337"/>
    <s v="UAE"/>
    <s v="Abu Dhabi"/>
    <s v="Customer_271"/>
    <x v="0"/>
    <s v="White Chocolate"/>
    <s v="Silk"/>
    <n v="28"/>
    <n v="355"/>
    <n v="9940"/>
    <x v="3"/>
  </r>
  <r>
    <s v="ORD1338"/>
    <x v="338"/>
    <s v="India"/>
    <s v="Bangalore"/>
    <s v="Customer_393"/>
    <x v="2"/>
    <s v="Nutty Delight"/>
    <s v="Silk"/>
    <n v="419"/>
    <n v="171"/>
    <n v="71649"/>
    <x v="1"/>
  </r>
  <r>
    <s v="ORD1339"/>
    <x v="339"/>
    <s v="India"/>
    <s v="Hyderabad"/>
    <s v="Customer_308"/>
    <x v="5"/>
    <s v="Milk Chocolate"/>
    <s v="MilkyBar"/>
    <n v="468"/>
    <n v="177"/>
    <n v="82836"/>
    <x v="3"/>
  </r>
  <r>
    <s v="ORD1340"/>
    <x v="340"/>
    <s v="UK"/>
    <s v="Liverpool"/>
    <s v="Customer_232"/>
    <x v="5"/>
    <s v="Dark Chocolate"/>
    <s v="ChocoLuxe"/>
    <n v="305"/>
    <n v="162"/>
    <n v="49410"/>
    <x v="2"/>
  </r>
  <r>
    <s v="ORD1341"/>
    <x v="341"/>
    <s v="UK"/>
    <s v="London"/>
    <s v="Customer_152"/>
    <x v="2"/>
    <s v="Dark Chocolate"/>
    <s v="MilkyBar"/>
    <n v="315"/>
    <n v="476"/>
    <n v="149940"/>
    <x v="2"/>
  </r>
  <r>
    <s v="ORD1342"/>
    <x v="342"/>
    <s v="UK"/>
    <s v="Manchester"/>
    <s v="Customer_253"/>
    <x v="5"/>
    <s v="Nutty Delight"/>
    <s v="TruffleBite"/>
    <n v="180"/>
    <n v="322"/>
    <n v="57960"/>
    <x v="1"/>
  </r>
  <r>
    <s v="ORD1343"/>
    <x v="343"/>
    <s v="Germany"/>
    <s v="Berlin"/>
    <s v="Customer_249"/>
    <x v="4"/>
    <s v="Milk Chocolate"/>
    <s v="Silk"/>
    <n v="340"/>
    <n v="385"/>
    <n v="130900"/>
    <x v="2"/>
  </r>
  <r>
    <s v="ORD1344"/>
    <x v="344"/>
    <s v="Canada"/>
    <s v="Vancouver"/>
    <s v="Customer_367"/>
    <x v="5"/>
    <s v="Premium Truffle"/>
    <s v="CocoaTreat"/>
    <n v="204"/>
    <n v="491"/>
    <n v="100164"/>
    <x v="0"/>
  </r>
  <r>
    <s v="ORD1345"/>
    <x v="345"/>
    <s v="India"/>
    <s v="Delhi"/>
    <s v="Customer_835"/>
    <x v="3"/>
    <s v="White Chocolate"/>
    <s v="CrunchyJoy"/>
    <n v="21"/>
    <n v="179"/>
    <n v="3759"/>
    <x v="1"/>
  </r>
  <r>
    <s v="ORD1346"/>
    <x v="346"/>
    <s v="Germany"/>
    <s v="Frankfurt"/>
    <s v="Customer_143"/>
    <x v="7"/>
    <s v="Milk Chocolate"/>
    <s v="SweetNuts"/>
    <n v="204"/>
    <n v="181"/>
    <n v="36924"/>
    <x v="1"/>
  </r>
  <r>
    <s v="ORD1347"/>
    <x v="347"/>
    <s v="UK"/>
    <s v="Manchester"/>
    <s v="Customer_628"/>
    <x v="5"/>
    <s v="Dark Chocolate"/>
    <s v="Silk"/>
    <n v="499"/>
    <n v="134"/>
    <n v="66866"/>
    <x v="0"/>
  </r>
  <r>
    <s v="ORD1348"/>
    <x v="348"/>
    <s v="India"/>
    <s v="Mumbai"/>
    <s v="Customer_470"/>
    <x v="7"/>
    <s v="Nutty Delight"/>
    <s v="CrunchyJoy"/>
    <n v="292"/>
    <n v="472"/>
    <n v="137824"/>
    <x v="2"/>
  </r>
  <r>
    <s v="ORD1349"/>
    <x v="349"/>
    <s v="Germany"/>
    <s v="Frankfurt"/>
    <s v="Customer_699"/>
    <x v="9"/>
    <s v="Nutty Delight"/>
    <s v="CocoaTreat"/>
    <n v="378"/>
    <n v="399"/>
    <n v="150822"/>
    <x v="2"/>
  </r>
  <r>
    <s v="ORD1350"/>
    <x v="350"/>
    <s v="Canada"/>
    <s v="Toronto"/>
    <s v="Customer_454"/>
    <x v="1"/>
    <s v="White Chocolate"/>
    <s v="SweetNuts"/>
    <n v="191"/>
    <n v="439"/>
    <n v="83849"/>
    <x v="2"/>
  </r>
  <r>
    <s v="ORD1351"/>
    <x v="351"/>
    <s v="Germany"/>
    <s v="Frankfurt"/>
    <s v="Customer_535"/>
    <x v="4"/>
    <s v="Nutty Delight"/>
    <s v="MilkyBar"/>
    <n v="459"/>
    <n v="130"/>
    <n v="59670"/>
    <x v="1"/>
  </r>
  <r>
    <s v="ORD1352"/>
    <x v="352"/>
    <s v="Canada"/>
    <s v="Calgary"/>
    <s v="Customer_839"/>
    <x v="1"/>
    <s v="Nutty Delight"/>
    <s v="MilkyBar"/>
    <n v="314"/>
    <n v="374"/>
    <n v="117436"/>
    <x v="1"/>
  </r>
  <r>
    <s v="ORD1353"/>
    <x v="353"/>
    <s v="UK"/>
    <s v="London"/>
    <s v="Customer_573"/>
    <x v="9"/>
    <s v="Milk Chocolate"/>
    <s v="ChocoLuxe"/>
    <n v="153"/>
    <n v="118"/>
    <n v="18054"/>
    <x v="2"/>
  </r>
  <r>
    <s v="ORD1354"/>
    <x v="354"/>
    <s v="Canada"/>
    <s v="Montreal"/>
    <s v="Customer_450"/>
    <x v="4"/>
    <s v="Premium Truffle"/>
    <s v="CrunchyJoy"/>
    <n v="395"/>
    <n v="197"/>
    <n v="77815"/>
    <x v="3"/>
  </r>
  <r>
    <s v="ORD1355"/>
    <x v="355"/>
    <s v="India"/>
    <s v="Hyderabad"/>
    <s v="Customer_130"/>
    <x v="2"/>
    <s v="White Chocolate"/>
    <s v="Silk"/>
    <n v="325"/>
    <n v="497"/>
    <n v="161525"/>
    <x v="2"/>
  </r>
  <r>
    <s v="ORD1356"/>
    <x v="356"/>
    <s v="UK"/>
    <s v="London"/>
    <s v="Customer_452"/>
    <x v="2"/>
    <s v="Milk Chocolate"/>
    <s v="DarkMagic"/>
    <n v="191"/>
    <n v="65"/>
    <n v="12415"/>
    <x v="0"/>
  </r>
  <r>
    <s v="ORD1357"/>
    <x v="357"/>
    <s v="India"/>
    <s v="Hyderabad"/>
    <s v="Customer_931"/>
    <x v="7"/>
    <s v="Premium Truffle"/>
    <s v="MilkyBar"/>
    <n v="39"/>
    <n v="356"/>
    <n v="13884"/>
    <x v="1"/>
  </r>
  <r>
    <s v="ORD1358"/>
    <x v="358"/>
    <s v="Australia"/>
    <s v="Melbourne"/>
    <s v="Customer_842"/>
    <x v="9"/>
    <s v="Milk Chocolate"/>
    <s v="MilkyBar"/>
    <n v="93"/>
    <n v="154"/>
    <n v="14322"/>
    <x v="0"/>
  </r>
  <r>
    <s v="ORD1359"/>
    <x v="359"/>
    <s v="USA"/>
    <s v="Los Angeles"/>
    <s v="Customer_542"/>
    <x v="7"/>
    <s v="Milk Chocolate"/>
    <s v="ChocoLuxe"/>
    <n v="175"/>
    <n v="214"/>
    <n v="37450"/>
    <x v="0"/>
  </r>
  <r>
    <s v="ORD1360"/>
    <x v="360"/>
    <s v="Canada"/>
    <s v="Toronto"/>
    <s v="Customer_402"/>
    <x v="0"/>
    <s v="Nutty Delight"/>
    <s v="SweetNuts"/>
    <n v="293"/>
    <n v="250"/>
    <n v="73250"/>
    <x v="1"/>
  </r>
  <r>
    <s v="ORD1361"/>
    <x v="361"/>
    <s v="USA"/>
    <s v="San Francisco"/>
    <s v="Customer_305"/>
    <x v="5"/>
    <s v="Premium Truffle"/>
    <s v="ChocoLuxe"/>
    <n v="290"/>
    <n v="246"/>
    <n v="71340"/>
    <x v="3"/>
  </r>
  <r>
    <s v="ORD1362"/>
    <x v="362"/>
    <s v="USA"/>
    <s v="Houston"/>
    <s v="Customer_273"/>
    <x v="6"/>
    <s v="White Chocolate"/>
    <s v="CocoaTreat"/>
    <n v="105"/>
    <n v="475"/>
    <n v="49875"/>
    <x v="2"/>
  </r>
  <r>
    <s v="ORD1363"/>
    <x v="363"/>
    <s v="Canada"/>
    <s v="Montreal"/>
    <s v="Customer_530"/>
    <x v="0"/>
    <s v="White Chocolate"/>
    <s v="Silk"/>
    <n v="390"/>
    <n v="234"/>
    <n v="91260"/>
    <x v="0"/>
  </r>
  <r>
    <s v="ORD1364"/>
    <x v="364"/>
    <s v="UK"/>
    <s v="Manchester"/>
    <s v="Customer_380"/>
    <x v="5"/>
    <s v="Premium Truffle"/>
    <s v="CrunchyJoy"/>
    <n v="275"/>
    <n v="371"/>
    <n v="102025"/>
    <x v="1"/>
  </r>
  <r>
    <s v="ORD1365"/>
    <x v="365"/>
    <s v="Australia"/>
    <s v="Brisbane"/>
    <s v="Customer_960"/>
    <x v="4"/>
    <s v="Nutty Delight"/>
    <s v="TruffleBite"/>
    <n v="453"/>
    <n v="314"/>
    <n v="142242"/>
    <x v="0"/>
  </r>
  <r>
    <s v="ORD1366"/>
    <x v="366"/>
    <s v="India"/>
    <s v="Delhi"/>
    <s v="Customer_541"/>
    <x v="7"/>
    <s v="Dark Chocolate"/>
    <s v="TruffleBite"/>
    <n v="307"/>
    <n v="412"/>
    <n v="126484"/>
    <x v="2"/>
  </r>
  <r>
    <s v="ORD1367"/>
    <x v="367"/>
    <s v="Germany"/>
    <s v="Frankfurt"/>
    <s v="Customer_429"/>
    <x v="4"/>
    <s v="Milk Chocolate"/>
    <s v="CrunchyJoy"/>
    <n v="305"/>
    <n v="149"/>
    <n v="45445"/>
    <x v="3"/>
  </r>
  <r>
    <s v="ORD1368"/>
    <x v="368"/>
    <s v="India"/>
    <s v="Hyderabad"/>
    <s v="Customer_913"/>
    <x v="4"/>
    <s v="Nutty Delight"/>
    <s v="SweetNuts"/>
    <n v="234"/>
    <n v="391"/>
    <n v="91494"/>
    <x v="3"/>
  </r>
  <r>
    <s v="ORD1369"/>
    <x v="369"/>
    <s v="Germany"/>
    <s v="Hamburg"/>
    <s v="Customer_370"/>
    <x v="5"/>
    <s v="Premium Truffle"/>
    <s v="CocoaTreat"/>
    <n v="342"/>
    <n v="369"/>
    <n v="126198"/>
    <x v="3"/>
  </r>
  <r>
    <s v="ORD1370"/>
    <x v="370"/>
    <s v="India"/>
    <s v="Chennai"/>
    <s v="Customer_485"/>
    <x v="9"/>
    <s v="Milk Chocolate"/>
    <s v="MilkyBar"/>
    <n v="370"/>
    <n v="263"/>
    <n v="97310"/>
    <x v="1"/>
  </r>
  <r>
    <s v="ORD1371"/>
    <x v="371"/>
    <s v="Canada"/>
    <s v="Toronto"/>
    <s v="Customer_182"/>
    <x v="5"/>
    <s v="White Chocolate"/>
    <s v="SweetNuts"/>
    <n v="383"/>
    <n v="327"/>
    <n v="125241"/>
    <x v="1"/>
  </r>
  <r>
    <s v="ORD1372"/>
    <x v="372"/>
    <s v="Australia"/>
    <s v="Melbourne"/>
    <s v="Customer_791"/>
    <x v="8"/>
    <s v="Dark Chocolate"/>
    <s v="MilkyBar"/>
    <n v="51"/>
    <n v="211"/>
    <n v="10761"/>
    <x v="3"/>
  </r>
  <r>
    <s v="ORD1373"/>
    <x v="373"/>
    <s v="Germany"/>
    <s v="Hamburg"/>
    <s v="Customer_533"/>
    <x v="2"/>
    <s v="White Chocolate"/>
    <s v="MilkyBar"/>
    <n v="312"/>
    <n v="488"/>
    <n v="152256"/>
    <x v="2"/>
  </r>
  <r>
    <s v="ORD1374"/>
    <x v="374"/>
    <s v="UAE"/>
    <s v="Abu Dhabi"/>
    <s v="Customer_154"/>
    <x v="2"/>
    <s v="Premium Truffle"/>
    <s v="TruffleBite"/>
    <n v="430"/>
    <n v="206"/>
    <n v="88580"/>
    <x v="2"/>
  </r>
  <r>
    <s v="ORD1375"/>
    <x v="375"/>
    <s v="UK"/>
    <s v="London"/>
    <s v="Customer_569"/>
    <x v="0"/>
    <s v="Milk Chocolate"/>
    <s v="SweetNuts"/>
    <n v="255"/>
    <n v="471"/>
    <n v="120105"/>
    <x v="1"/>
  </r>
  <r>
    <s v="ORD1376"/>
    <x v="376"/>
    <s v="India"/>
    <s v="Delhi"/>
    <s v="Customer_965"/>
    <x v="2"/>
    <s v="Premium Truffle"/>
    <s v="CocoaTreat"/>
    <n v="217"/>
    <n v="300"/>
    <n v="65100"/>
    <x v="3"/>
  </r>
  <r>
    <s v="ORD1377"/>
    <x v="377"/>
    <s v="India"/>
    <s v="Chennai"/>
    <s v="Customer_294"/>
    <x v="5"/>
    <s v="Milk Chocolate"/>
    <s v="ChocoLuxe"/>
    <n v="246"/>
    <n v="415"/>
    <n v="102090"/>
    <x v="2"/>
  </r>
  <r>
    <s v="ORD1378"/>
    <x v="378"/>
    <s v="Germany"/>
    <s v="Hamburg"/>
    <s v="Customer_141"/>
    <x v="3"/>
    <s v="Nutty Delight"/>
    <s v="MilkyBar"/>
    <n v="31"/>
    <n v="146"/>
    <n v="4526"/>
    <x v="2"/>
  </r>
  <r>
    <s v="ORD1379"/>
    <x v="379"/>
    <s v="UK"/>
    <s v="Birmingham"/>
    <s v="Customer_277"/>
    <x v="7"/>
    <s v="Dark Chocolate"/>
    <s v="DarkMagic"/>
    <n v="194"/>
    <n v="67"/>
    <n v="12998"/>
    <x v="2"/>
  </r>
  <r>
    <s v="ORD1380"/>
    <x v="380"/>
    <s v="UK"/>
    <s v="Liverpool"/>
    <s v="Customer_341"/>
    <x v="5"/>
    <s v="Nutty Delight"/>
    <s v="DarkMagic"/>
    <n v="477"/>
    <n v="376"/>
    <n v="179352"/>
    <x v="1"/>
  </r>
  <r>
    <s v="ORD1381"/>
    <x v="381"/>
    <s v="Canada"/>
    <s v="Vancouver"/>
    <s v="Customer_120"/>
    <x v="5"/>
    <s v="Nutty Delight"/>
    <s v="ChocoLuxe"/>
    <n v="251"/>
    <n v="498"/>
    <n v="124998"/>
    <x v="3"/>
  </r>
  <r>
    <s v="ORD1382"/>
    <x v="382"/>
    <s v="UAE"/>
    <s v="Abu Dhabi"/>
    <s v="Customer_117"/>
    <x v="6"/>
    <s v="Premium Truffle"/>
    <s v="DarkMagic"/>
    <n v="372"/>
    <n v="432"/>
    <n v="160704"/>
    <x v="0"/>
  </r>
  <r>
    <s v="ORD1383"/>
    <x v="383"/>
    <s v="Canada"/>
    <s v="Calgary"/>
    <s v="Customer_419"/>
    <x v="7"/>
    <s v="Dark Chocolate"/>
    <s v="Silk"/>
    <n v="292"/>
    <n v="146"/>
    <n v="42632"/>
    <x v="3"/>
  </r>
  <r>
    <s v="ORD1384"/>
    <x v="384"/>
    <s v="Canada"/>
    <s v="Calgary"/>
    <s v="Customer_900"/>
    <x v="8"/>
    <s v="Milk Chocolate"/>
    <s v="MilkyBar"/>
    <n v="50"/>
    <n v="50"/>
    <n v="2500"/>
    <x v="3"/>
  </r>
  <r>
    <s v="ORD1385"/>
    <x v="385"/>
    <s v="Canada"/>
    <s v="Toronto"/>
    <s v="Customer_215"/>
    <x v="2"/>
    <s v="Milk Chocolate"/>
    <s v="ChocoLuxe"/>
    <n v="345"/>
    <n v="265"/>
    <n v="91425"/>
    <x v="1"/>
  </r>
  <r>
    <s v="ORD1386"/>
    <x v="386"/>
    <s v="Canada"/>
    <s v="Vancouver"/>
    <s v="Customer_569"/>
    <x v="7"/>
    <s v="White Chocolate"/>
    <s v="SweetNuts"/>
    <n v="171"/>
    <n v="181"/>
    <n v="30951"/>
    <x v="2"/>
  </r>
  <r>
    <s v="ORD1387"/>
    <x v="387"/>
    <s v="Canada"/>
    <s v="Vancouver"/>
    <s v="Customer_804"/>
    <x v="2"/>
    <s v="Milk Chocolate"/>
    <s v="MilkyBar"/>
    <n v="169"/>
    <n v="309"/>
    <n v="52221"/>
    <x v="2"/>
  </r>
  <r>
    <s v="ORD1388"/>
    <x v="388"/>
    <s v="Australia"/>
    <s v="Perth"/>
    <s v="Customer_851"/>
    <x v="0"/>
    <s v="Premium Truffle"/>
    <s v="ChocoLuxe"/>
    <n v="483"/>
    <n v="174"/>
    <n v="84042"/>
    <x v="1"/>
  </r>
  <r>
    <s v="ORD1389"/>
    <x v="389"/>
    <s v="UK"/>
    <s v="Birmingham"/>
    <s v="Customer_313"/>
    <x v="7"/>
    <s v="Nutty Delight"/>
    <s v="TruffleBite"/>
    <n v="98"/>
    <n v="131"/>
    <n v="12838"/>
    <x v="1"/>
  </r>
  <r>
    <s v="ORD1390"/>
    <x v="390"/>
    <s v="Canada"/>
    <s v="Vancouver"/>
    <s v="Customer_568"/>
    <x v="2"/>
    <s v="Nutty Delight"/>
    <s v="CocoaTreat"/>
    <n v="331"/>
    <n v="332"/>
    <n v="109892"/>
    <x v="1"/>
  </r>
  <r>
    <s v="ORD1391"/>
    <x v="391"/>
    <s v="UK"/>
    <s v="Birmingham"/>
    <s v="Customer_483"/>
    <x v="8"/>
    <s v="Nutty Delight"/>
    <s v="SweetNuts"/>
    <n v="21"/>
    <n v="220"/>
    <n v="4620"/>
    <x v="1"/>
  </r>
  <r>
    <s v="ORD1392"/>
    <x v="392"/>
    <s v="UK"/>
    <s v="Liverpool"/>
    <s v="Customer_536"/>
    <x v="1"/>
    <s v="Dark Chocolate"/>
    <s v="CocoaTreat"/>
    <n v="433"/>
    <n v="108"/>
    <n v="46764"/>
    <x v="1"/>
  </r>
  <r>
    <s v="ORD1393"/>
    <x v="393"/>
    <s v="USA"/>
    <s v="New York"/>
    <s v="Customer_590"/>
    <x v="4"/>
    <s v="Milk Chocolate"/>
    <s v="TruffleBite"/>
    <n v="82"/>
    <n v="81"/>
    <n v="6642"/>
    <x v="0"/>
  </r>
  <r>
    <s v="ORD1394"/>
    <x v="394"/>
    <s v="Australia"/>
    <s v="Melbourne"/>
    <s v="Customer_133"/>
    <x v="4"/>
    <s v="Premium Truffle"/>
    <s v="MilkyBar"/>
    <n v="85"/>
    <n v="210"/>
    <n v="17850"/>
    <x v="3"/>
  </r>
  <r>
    <s v="ORD1395"/>
    <x v="395"/>
    <s v="Canada"/>
    <s v="Montreal"/>
    <s v="Customer_497"/>
    <x v="8"/>
    <s v="Dark Chocolate"/>
    <s v="SweetNuts"/>
    <n v="355"/>
    <n v="333"/>
    <n v="118215"/>
    <x v="3"/>
  </r>
  <r>
    <s v="ORD1396"/>
    <x v="396"/>
    <s v="India"/>
    <s v="Mumbai"/>
    <s v="Customer_946"/>
    <x v="6"/>
    <s v="White Chocolate"/>
    <s v="CocoaTreat"/>
    <n v="210"/>
    <n v="155"/>
    <n v="32550"/>
    <x v="3"/>
  </r>
  <r>
    <s v="ORD1397"/>
    <x v="397"/>
    <s v="Germany"/>
    <s v="Munich"/>
    <s v="Customer_962"/>
    <x v="1"/>
    <s v="Premium Truffle"/>
    <s v="DarkMagic"/>
    <n v="19"/>
    <n v="154"/>
    <n v="2926"/>
    <x v="2"/>
  </r>
  <r>
    <s v="ORD1398"/>
    <x v="398"/>
    <s v="UAE"/>
    <s v="Dubai"/>
    <s v="Customer_114"/>
    <x v="0"/>
    <s v="Premium Truffle"/>
    <s v="CocoaTreat"/>
    <n v="361"/>
    <n v="488"/>
    <n v="176168"/>
    <x v="0"/>
  </r>
  <r>
    <s v="ORD1399"/>
    <x v="399"/>
    <s v="India"/>
    <s v="Delhi"/>
    <s v="Customer_134"/>
    <x v="8"/>
    <s v="Premium Truffle"/>
    <s v="ChocoLuxe"/>
    <n v="235"/>
    <n v="277"/>
    <n v="65095"/>
    <x v="3"/>
  </r>
  <r>
    <s v="ORD1400"/>
    <x v="400"/>
    <s v="Australia"/>
    <s v="Sydney"/>
    <s v="Customer_164"/>
    <x v="4"/>
    <s v="Nutty Delight"/>
    <s v="MilkyBar"/>
    <n v="185"/>
    <n v="237"/>
    <n v="43845"/>
    <x v="2"/>
  </r>
  <r>
    <s v="ORD1401"/>
    <x v="401"/>
    <s v="Germany"/>
    <s v="Berlin"/>
    <s v="Customer_105"/>
    <x v="4"/>
    <s v="Premium Truffle"/>
    <s v="Silk"/>
    <n v="285"/>
    <n v="119"/>
    <n v="33915"/>
    <x v="0"/>
  </r>
  <r>
    <s v="ORD1402"/>
    <x v="402"/>
    <s v="Australia"/>
    <s v="Brisbane"/>
    <s v="Customer_673"/>
    <x v="4"/>
    <s v="Milk Chocolate"/>
    <s v="CocoaTreat"/>
    <n v="48"/>
    <n v="367"/>
    <n v="17616"/>
    <x v="0"/>
  </r>
  <r>
    <s v="ORD1403"/>
    <x v="403"/>
    <s v="UK"/>
    <s v="London"/>
    <s v="Customer_186"/>
    <x v="9"/>
    <s v="Premium Truffle"/>
    <s v="SweetNuts"/>
    <n v="69"/>
    <n v="339"/>
    <n v="23391"/>
    <x v="2"/>
  </r>
  <r>
    <s v="ORD1404"/>
    <x v="404"/>
    <s v="Germany"/>
    <s v="Munich"/>
    <s v="Customer_436"/>
    <x v="8"/>
    <s v="Nutty Delight"/>
    <s v="SweetNuts"/>
    <n v="75"/>
    <n v="136"/>
    <n v="10200"/>
    <x v="0"/>
  </r>
  <r>
    <s v="ORD1405"/>
    <x v="405"/>
    <s v="UK"/>
    <s v="Manchester"/>
    <s v="Customer_995"/>
    <x v="5"/>
    <s v="Premium Truffle"/>
    <s v="CrunchyJoy"/>
    <n v="330"/>
    <n v="419"/>
    <n v="138270"/>
    <x v="2"/>
  </r>
  <r>
    <s v="ORD1406"/>
    <x v="406"/>
    <s v="India"/>
    <s v="Bangalore"/>
    <s v="Customer_174"/>
    <x v="0"/>
    <s v="White Chocolate"/>
    <s v="CocoaTreat"/>
    <n v="444"/>
    <n v="411"/>
    <n v="182484"/>
    <x v="3"/>
  </r>
  <r>
    <s v="ORD1407"/>
    <x v="407"/>
    <s v="India"/>
    <s v="Hyderabad"/>
    <s v="Customer_725"/>
    <x v="4"/>
    <s v="White Chocolate"/>
    <s v="MilkyBar"/>
    <n v="133"/>
    <n v="105"/>
    <n v="13965"/>
    <x v="2"/>
  </r>
  <r>
    <s v="ORD1408"/>
    <x v="408"/>
    <s v="Germany"/>
    <s v="Munich"/>
    <s v="Customer_663"/>
    <x v="2"/>
    <s v="Nutty Delight"/>
    <s v="MilkyBar"/>
    <n v="173"/>
    <n v="162"/>
    <n v="28026"/>
    <x v="0"/>
  </r>
  <r>
    <s v="ORD1409"/>
    <x v="409"/>
    <s v="Germany"/>
    <s v="Munich"/>
    <s v="Customer_550"/>
    <x v="8"/>
    <s v="Milk Chocolate"/>
    <s v="TruffleBite"/>
    <n v="417"/>
    <n v="62"/>
    <n v="25854"/>
    <x v="3"/>
  </r>
  <r>
    <s v="ORD1410"/>
    <x v="410"/>
    <s v="Canada"/>
    <s v="Toronto"/>
    <s v="Customer_627"/>
    <x v="9"/>
    <s v="Milk Chocolate"/>
    <s v="CrunchyJoy"/>
    <n v="420"/>
    <n v="489"/>
    <n v="205380"/>
    <x v="3"/>
  </r>
  <r>
    <s v="ORD1411"/>
    <x v="411"/>
    <s v="Australia"/>
    <s v="Sydney"/>
    <s v="Customer_836"/>
    <x v="8"/>
    <s v="Dark Chocolate"/>
    <s v="CocoaTreat"/>
    <n v="395"/>
    <n v="67"/>
    <n v="26465"/>
    <x v="1"/>
  </r>
  <r>
    <s v="ORD1412"/>
    <x v="412"/>
    <s v="Canada"/>
    <s v="Vancouver"/>
    <s v="Customer_413"/>
    <x v="0"/>
    <s v="Nutty Delight"/>
    <s v="DarkMagic"/>
    <n v="168"/>
    <n v="231"/>
    <n v="38808"/>
    <x v="1"/>
  </r>
  <r>
    <s v="ORD1413"/>
    <x v="413"/>
    <s v="Australia"/>
    <s v="Brisbane"/>
    <s v="Customer_654"/>
    <x v="9"/>
    <s v="Premium Truffle"/>
    <s v="TruffleBite"/>
    <n v="66"/>
    <n v="162"/>
    <n v="10692"/>
    <x v="0"/>
  </r>
  <r>
    <s v="ORD1414"/>
    <x v="414"/>
    <s v="Canada"/>
    <s v="Toronto"/>
    <s v="Customer_198"/>
    <x v="0"/>
    <s v="Nutty Delight"/>
    <s v="CrunchyJoy"/>
    <n v="87"/>
    <n v="278"/>
    <n v="24186"/>
    <x v="2"/>
  </r>
  <r>
    <s v="ORD1415"/>
    <x v="415"/>
    <s v="UK"/>
    <s v="Birmingham"/>
    <s v="Customer_827"/>
    <x v="8"/>
    <s v="Dark Chocolate"/>
    <s v="CocoaTreat"/>
    <n v="203"/>
    <n v="220"/>
    <n v="44660"/>
    <x v="2"/>
  </r>
  <r>
    <s v="ORD1416"/>
    <x v="416"/>
    <s v="Germany"/>
    <s v="Munich"/>
    <s v="Customer_446"/>
    <x v="5"/>
    <s v="Nutty Delight"/>
    <s v="CocoaTreat"/>
    <n v="294"/>
    <n v="344"/>
    <n v="101136"/>
    <x v="0"/>
  </r>
  <r>
    <s v="ORD1417"/>
    <x v="417"/>
    <s v="India"/>
    <s v="Delhi"/>
    <s v="Customer_521"/>
    <x v="0"/>
    <s v="Nutty Delight"/>
    <s v="TruffleBite"/>
    <n v="24"/>
    <n v="238"/>
    <n v="5712"/>
    <x v="3"/>
  </r>
  <r>
    <s v="ORD1418"/>
    <x v="418"/>
    <s v="Australia"/>
    <s v="Perth"/>
    <s v="Customer_145"/>
    <x v="9"/>
    <s v="Dark Chocolate"/>
    <s v="DarkMagic"/>
    <n v="21"/>
    <n v="475"/>
    <n v="9975"/>
    <x v="0"/>
  </r>
  <r>
    <s v="ORD1419"/>
    <x v="419"/>
    <s v="Australia"/>
    <s v="Sydney"/>
    <s v="Customer_156"/>
    <x v="9"/>
    <s v="Milk Chocolate"/>
    <s v="CrunchyJoy"/>
    <n v="110"/>
    <n v="128"/>
    <n v="14080"/>
    <x v="0"/>
  </r>
  <r>
    <s v="ORD1420"/>
    <x v="420"/>
    <s v="India"/>
    <s v="Delhi"/>
    <s v="Customer_609"/>
    <x v="0"/>
    <s v="Premium Truffle"/>
    <s v="CocoaTreat"/>
    <n v="165"/>
    <n v="195"/>
    <n v="32175"/>
    <x v="3"/>
  </r>
  <r>
    <s v="ORD1421"/>
    <x v="421"/>
    <s v="Canada"/>
    <s v="Calgary"/>
    <s v="Customer_857"/>
    <x v="3"/>
    <s v="Dark Chocolate"/>
    <s v="CocoaTreat"/>
    <n v="349"/>
    <n v="456"/>
    <n v="159144"/>
    <x v="2"/>
  </r>
  <r>
    <s v="ORD1422"/>
    <x v="422"/>
    <s v="Australia"/>
    <s v="Sydney"/>
    <s v="Customer_145"/>
    <x v="8"/>
    <s v="White Chocolate"/>
    <s v="CrunchyJoy"/>
    <n v="134"/>
    <n v="231"/>
    <n v="30954"/>
    <x v="0"/>
  </r>
  <r>
    <s v="ORD1423"/>
    <x v="423"/>
    <s v="UAE"/>
    <s v="Abu Dhabi"/>
    <s v="Customer_118"/>
    <x v="3"/>
    <s v="Milk Chocolate"/>
    <s v="Silk"/>
    <n v="368"/>
    <n v="335"/>
    <n v="123280"/>
    <x v="2"/>
  </r>
  <r>
    <s v="ORD1424"/>
    <x v="424"/>
    <s v="UK"/>
    <s v="Manchester"/>
    <s v="Customer_830"/>
    <x v="6"/>
    <s v="White Chocolate"/>
    <s v="TruffleBite"/>
    <n v="289"/>
    <n v="299"/>
    <n v="86411"/>
    <x v="0"/>
  </r>
  <r>
    <s v="ORD1425"/>
    <x v="425"/>
    <s v="Germany"/>
    <s v="Berlin"/>
    <s v="Customer_197"/>
    <x v="8"/>
    <s v="Milk Chocolate"/>
    <s v="TruffleBite"/>
    <n v="414"/>
    <n v="403"/>
    <n v="166842"/>
    <x v="3"/>
  </r>
  <r>
    <s v="ORD1426"/>
    <x v="426"/>
    <s v="India"/>
    <s v="Chennai"/>
    <s v="Customer_969"/>
    <x v="0"/>
    <s v="Premium Truffle"/>
    <s v="SweetNuts"/>
    <n v="403"/>
    <n v="363"/>
    <n v="146289"/>
    <x v="3"/>
  </r>
  <r>
    <s v="ORD1427"/>
    <x v="427"/>
    <s v="Germany"/>
    <s v="Berlin"/>
    <s v="Customer_298"/>
    <x v="1"/>
    <s v="Premium Truffle"/>
    <s v="DarkMagic"/>
    <n v="119"/>
    <n v="245"/>
    <n v="29155"/>
    <x v="1"/>
  </r>
  <r>
    <s v="ORD1428"/>
    <x v="428"/>
    <s v="UAE"/>
    <s v="Abu Dhabi"/>
    <s v="Customer_597"/>
    <x v="0"/>
    <s v="Nutty Delight"/>
    <s v="ChocoLuxe"/>
    <n v="343"/>
    <n v="372"/>
    <n v="127596"/>
    <x v="3"/>
  </r>
  <r>
    <s v="ORD1429"/>
    <x v="429"/>
    <s v="Australia"/>
    <s v="Melbourne"/>
    <s v="Customer_211"/>
    <x v="3"/>
    <s v="White Chocolate"/>
    <s v="Silk"/>
    <n v="366"/>
    <n v="120"/>
    <n v="43920"/>
    <x v="1"/>
  </r>
  <r>
    <s v="ORD1430"/>
    <x v="430"/>
    <s v="Australia"/>
    <s v="Perth"/>
    <s v="Customer_818"/>
    <x v="5"/>
    <s v="Milk Chocolate"/>
    <s v="CrunchyJoy"/>
    <n v="155"/>
    <n v="297"/>
    <n v="46035"/>
    <x v="0"/>
  </r>
  <r>
    <s v="ORD1431"/>
    <x v="431"/>
    <s v="UAE"/>
    <s v="Sharjah"/>
    <s v="Customer_960"/>
    <x v="0"/>
    <s v="Premium Truffle"/>
    <s v="CrunchyJoy"/>
    <n v="225"/>
    <n v="195"/>
    <n v="43875"/>
    <x v="2"/>
  </r>
  <r>
    <s v="ORD1432"/>
    <x v="432"/>
    <s v="India"/>
    <s v="Chennai"/>
    <s v="Customer_374"/>
    <x v="0"/>
    <s v="Dark Chocolate"/>
    <s v="CrunchyJoy"/>
    <n v="407"/>
    <n v="155"/>
    <n v="63085"/>
    <x v="3"/>
  </r>
  <r>
    <s v="ORD1433"/>
    <x v="433"/>
    <s v="UK"/>
    <s v="Manchester"/>
    <s v="Customer_434"/>
    <x v="5"/>
    <s v="Premium Truffle"/>
    <s v="Silk"/>
    <n v="171"/>
    <n v="312"/>
    <n v="53352"/>
    <x v="3"/>
  </r>
  <r>
    <s v="ORD1434"/>
    <x v="434"/>
    <s v="USA"/>
    <s v="San Francisco"/>
    <s v="Customer_694"/>
    <x v="0"/>
    <s v="Dark Chocolate"/>
    <s v="CocoaTreat"/>
    <n v="137"/>
    <n v="345"/>
    <n v="47265"/>
    <x v="3"/>
  </r>
  <r>
    <s v="ORD1435"/>
    <x v="435"/>
    <s v="India"/>
    <s v="Bangalore"/>
    <s v="Customer_395"/>
    <x v="4"/>
    <s v="Milk Chocolate"/>
    <s v="CrunchyJoy"/>
    <n v="323"/>
    <n v="119"/>
    <n v="38437"/>
    <x v="0"/>
  </r>
  <r>
    <s v="ORD1436"/>
    <x v="436"/>
    <s v="USA"/>
    <s v="New York"/>
    <s v="Customer_859"/>
    <x v="1"/>
    <s v="Premium Truffle"/>
    <s v="CrunchyJoy"/>
    <n v="341"/>
    <n v="242"/>
    <n v="82522"/>
    <x v="1"/>
  </r>
  <r>
    <s v="ORD1437"/>
    <x v="437"/>
    <s v="UAE"/>
    <s v="Sharjah"/>
    <s v="Customer_987"/>
    <x v="2"/>
    <s v="Premium Truffle"/>
    <s v="DarkMagic"/>
    <n v="159"/>
    <n v="117"/>
    <n v="18603"/>
    <x v="0"/>
  </r>
  <r>
    <s v="ORD1438"/>
    <x v="438"/>
    <s v="Canada"/>
    <s v="Vancouver"/>
    <s v="Customer_450"/>
    <x v="1"/>
    <s v="Milk Chocolate"/>
    <s v="MilkyBar"/>
    <n v="463"/>
    <n v="354"/>
    <n v="163902"/>
    <x v="2"/>
  </r>
  <r>
    <s v="ORD1439"/>
    <x v="439"/>
    <s v="USA"/>
    <s v="Chicago"/>
    <s v="Customer_713"/>
    <x v="0"/>
    <s v="Premium Truffle"/>
    <s v="MilkyBar"/>
    <n v="45"/>
    <n v="101"/>
    <n v="4545"/>
    <x v="0"/>
  </r>
  <r>
    <s v="ORD1440"/>
    <x v="440"/>
    <s v="UK"/>
    <s v="Liverpool"/>
    <s v="Customer_364"/>
    <x v="4"/>
    <s v="Dark Chocolate"/>
    <s v="SweetNuts"/>
    <n v="182"/>
    <n v="419"/>
    <n v="76258"/>
    <x v="2"/>
  </r>
  <r>
    <s v="ORD1441"/>
    <x v="441"/>
    <s v="Canada"/>
    <s v="Vancouver"/>
    <s v="Customer_949"/>
    <x v="8"/>
    <s v="Premium Truffle"/>
    <s v="SweetNuts"/>
    <n v="429"/>
    <n v="412"/>
    <n v="176748"/>
    <x v="3"/>
  </r>
  <r>
    <s v="ORD1442"/>
    <x v="442"/>
    <s v="USA"/>
    <s v="Houston"/>
    <s v="Customer_288"/>
    <x v="0"/>
    <s v="White Chocolate"/>
    <s v="CrunchyJoy"/>
    <n v="31"/>
    <n v="334"/>
    <n v="10354"/>
    <x v="2"/>
  </r>
  <r>
    <s v="ORD1443"/>
    <x v="443"/>
    <s v="UAE"/>
    <s v="Dubai"/>
    <s v="Customer_160"/>
    <x v="3"/>
    <s v="Nutty Delight"/>
    <s v="DarkMagic"/>
    <n v="215"/>
    <n v="454"/>
    <n v="97610"/>
    <x v="2"/>
  </r>
  <r>
    <s v="ORD1444"/>
    <x v="444"/>
    <s v="Canada"/>
    <s v="Toronto"/>
    <s v="Customer_834"/>
    <x v="4"/>
    <s v="Dark Chocolate"/>
    <s v="CrunchyJoy"/>
    <n v="136"/>
    <n v="383"/>
    <n v="52088"/>
    <x v="1"/>
  </r>
  <r>
    <s v="ORD1445"/>
    <x v="445"/>
    <s v="UAE"/>
    <s v="Dubai"/>
    <s v="Customer_942"/>
    <x v="5"/>
    <s v="White Chocolate"/>
    <s v="SweetNuts"/>
    <n v="345"/>
    <n v="58"/>
    <n v="20010"/>
    <x v="2"/>
  </r>
  <r>
    <s v="ORD1446"/>
    <x v="446"/>
    <s v="USA"/>
    <s v="Los Angeles"/>
    <s v="Customer_794"/>
    <x v="4"/>
    <s v="Milk Chocolate"/>
    <s v="Silk"/>
    <n v="454"/>
    <n v="300"/>
    <n v="136200"/>
    <x v="2"/>
  </r>
  <r>
    <s v="ORD1447"/>
    <x v="447"/>
    <s v="UAE"/>
    <s v="Dubai"/>
    <s v="Customer_691"/>
    <x v="5"/>
    <s v="Dark Chocolate"/>
    <s v="Silk"/>
    <n v="365"/>
    <n v="480"/>
    <n v="175200"/>
    <x v="0"/>
  </r>
  <r>
    <s v="ORD1448"/>
    <x v="448"/>
    <s v="UK"/>
    <s v="London"/>
    <s v="Customer_720"/>
    <x v="6"/>
    <s v="Nutty Delight"/>
    <s v="CocoaTreat"/>
    <n v="449"/>
    <n v="381"/>
    <n v="171069"/>
    <x v="3"/>
  </r>
  <r>
    <s v="ORD1449"/>
    <x v="449"/>
    <s v="USA"/>
    <s v="Los Angeles"/>
    <s v="Customer_549"/>
    <x v="2"/>
    <s v="Nutty Delight"/>
    <s v="ChocoLuxe"/>
    <n v="226"/>
    <n v="347"/>
    <n v="78422"/>
    <x v="0"/>
  </r>
  <r>
    <s v="ORD1450"/>
    <x v="450"/>
    <s v="USA"/>
    <s v="San Francisco"/>
    <s v="Customer_575"/>
    <x v="7"/>
    <s v="Milk Chocolate"/>
    <s v="MilkyBar"/>
    <n v="105"/>
    <n v="484"/>
    <n v="50820"/>
    <x v="0"/>
  </r>
  <r>
    <s v="ORD1451"/>
    <x v="451"/>
    <s v="USA"/>
    <s v="Houston"/>
    <s v="Customer_610"/>
    <x v="4"/>
    <s v="Milk Chocolate"/>
    <s v="DarkMagic"/>
    <n v="426"/>
    <n v="233"/>
    <n v="99258"/>
    <x v="3"/>
  </r>
  <r>
    <s v="ORD1452"/>
    <x v="452"/>
    <s v="India"/>
    <s v="Delhi"/>
    <s v="Customer_622"/>
    <x v="9"/>
    <s v="Dark Chocolate"/>
    <s v="TruffleBite"/>
    <n v="438"/>
    <n v="228"/>
    <n v="99864"/>
    <x v="3"/>
  </r>
  <r>
    <s v="ORD1453"/>
    <x v="453"/>
    <s v="India"/>
    <s v="Delhi"/>
    <s v="Customer_870"/>
    <x v="3"/>
    <s v="Premium Truffle"/>
    <s v="MilkyBar"/>
    <n v="173"/>
    <n v="247"/>
    <n v="42731"/>
    <x v="2"/>
  </r>
  <r>
    <s v="ORD1454"/>
    <x v="454"/>
    <s v="India"/>
    <s v="Hyderabad"/>
    <s v="Customer_879"/>
    <x v="0"/>
    <s v="Milk Chocolate"/>
    <s v="TruffleBite"/>
    <n v="157"/>
    <n v="177"/>
    <n v="27789"/>
    <x v="2"/>
  </r>
  <r>
    <s v="ORD1455"/>
    <x v="455"/>
    <s v="UK"/>
    <s v="Manchester"/>
    <s v="Customer_132"/>
    <x v="3"/>
    <s v="Premium Truffle"/>
    <s v="ChocoLuxe"/>
    <n v="27"/>
    <n v="69"/>
    <n v="1863"/>
    <x v="1"/>
  </r>
  <r>
    <s v="ORD1456"/>
    <x v="456"/>
    <s v="Canada"/>
    <s v="Montreal"/>
    <s v="Customer_170"/>
    <x v="1"/>
    <s v="White Chocolate"/>
    <s v="ChocoLuxe"/>
    <n v="303"/>
    <n v="460"/>
    <n v="139380"/>
    <x v="0"/>
  </r>
  <r>
    <s v="ORD1457"/>
    <x v="457"/>
    <s v="UAE"/>
    <s v="Dubai"/>
    <s v="Customer_628"/>
    <x v="7"/>
    <s v="Nutty Delight"/>
    <s v="CrunchyJoy"/>
    <n v="204"/>
    <n v="471"/>
    <n v="96084"/>
    <x v="3"/>
  </r>
  <r>
    <s v="ORD1458"/>
    <x v="458"/>
    <s v="Australia"/>
    <s v="Brisbane"/>
    <s v="Customer_129"/>
    <x v="1"/>
    <s v="Premium Truffle"/>
    <s v="SweetNuts"/>
    <n v="160"/>
    <n v="377"/>
    <n v="60320"/>
    <x v="2"/>
  </r>
  <r>
    <s v="ORD1459"/>
    <x v="459"/>
    <s v="USA"/>
    <s v="San Francisco"/>
    <s v="Customer_600"/>
    <x v="6"/>
    <s v="Nutty Delight"/>
    <s v="ChocoLuxe"/>
    <n v="489"/>
    <n v="114"/>
    <n v="55746"/>
    <x v="3"/>
  </r>
  <r>
    <s v="ORD1460"/>
    <x v="460"/>
    <s v="UAE"/>
    <s v="Sharjah"/>
    <s v="Customer_830"/>
    <x v="7"/>
    <s v="Premium Truffle"/>
    <s v="ChocoLuxe"/>
    <n v="374"/>
    <n v="231"/>
    <n v="86394"/>
    <x v="2"/>
  </r>
  <r>
    <s v="ORD1461"/>
    <x v="461"/>
    <s v="USA"/>
    <s v="Los Angeles"/>
    <s v="Customer_842"/>
    <x v="7"/>
    <s v="White Chocolate"/>
    <s v="TruffleBite"/>
    <n v="132"/>
    <n v="290"/>
    <n v="38280"/>
    <x v="1"/>
  </r>
  <r>
    <s v="ORD1462"/>
    <x v="462"/>
    <s v="UK"/>
    <s v="London"/>
    <s v="Customer_727"/>
    <x v="1"/>
    <s v="Milk Chocolate"/>
    <s v="SweetNuts"/>
    <n v="409"/>
    <n v="418"/>
    <n v="170962"/>
    <x v="1"/>
  </r>
  <r>
    <s v="ORD1463"/>
    <x v="463"/>
    <s v="USA"/>
    <s v="San Francisco"/>
    <s v="Customer_750"/>
    <x v="5"/>
    <s v="White Chocolate"/>
    <s v="ChocoLuxe"/>
    <n v="196"/>
    <n v="73"/>
    <n v="14308"/>
    <x v="3"/>
  </r>
  <r>
    <s v="ORD1464"/>
    <x v="464"/>
    <s v="India"/>
    <s v="Bangalore"/>
    <s v="Customer_482"/>
    <x v="1"/>
    <s v="Milk Chocolate"/>
    <s v="MilkyBar"/>
    <n v="462"/>
    <n v="433"/>
    <n v="200046"/>
    <x v="1"/>
  </r>
  <r>
    <s v="ORD1465"/>
    <x v="465"/>
    <s v="Australia"/>
    <s v="Perth"/>
    <s v="Customer_678"/>
    <x v="3"/>
    <s v="Milk Chocolate"/>
    <s v="CocoaTreat"/>
    <n v="461"/>
    <n v="480"/>
    <n v="221280"/>
    <x v="3"/>
  </r>
  <r>
    <s v="ORD1466"/>
    <x v="466"/>
    <s v="Germany"/>
    <s v="Frankfurt"/>
    <s v="Customer_367"/>
    <x v="5"/>
    <s v="Nutty Delight"/>
    <s v="ChocoLuxe"/>
    <n v="158"/>
    <n v="132"/>
    <n v="20856"/>
    <x v="2"/>
  </r>
  <r>
    <s v="ORD1467"/>
    <x v="467"/>
    <s v="USA"/>
    <s v="Houston"/>
    <s v="Customer_343"/>
    <x v="3"/>
    <s v="White Chocolate"/>
    <s v="CocoaTreat"/>
    <n v="113"/>
    <n v="368"/>
    <n v="41584"/>
    <x v="0"/>
  </r>
  <r>
    <s v="ORD1468"/>
    <x v="468"/>
    <s v="UAE"/>
    <s v="Dubai"/>
    <s v="Customer_118"/>
    <x v="6"/>
    <s v="Premium Truffle"/>
    <s v="SweetNuts"/>
    <n v="252"/>
    <n v="234"/>
    <n v="58968"/>
    <x v="1"/>
  </r>
  <r>
    <s v="ORD1469"/>
    <x v="469"/>
    <s v="India"/>
    <s v="Bangalore"/>
    <s v="Customer_504"/>
    <x v="0"/>
    <s v="White Chocolate"/>
    <s v="CrunchyJoy"/>
    <n v="471"/>
    <n v="488"/>
    <n v="229848"/>
    <x v="2"/>
  </r>
  <r>
    <s v="ORD1470"/>
    <x v="470"/>
    <s v="Germany"/>
    <s v="Frankfurt"/>
    <s v="Customer_913"/>
    <x v="8"/>
    <s v="Nutty Delight"/>
    <s v="DarkMagic"/>
    <n v="240"/>
    <n v="365"/>
    <n v="87600"/>
    <x v="0"/>
  </r>
  <r>
    <s v="ORD1471"/>
    <x v="471"/>
    <s v="Australia"/>
    <s v="Perth"/>
    <s v="Customer_956"/>
    <x v="5"/>
    <s v="Milk Chocolate"/>
    <s v="SweetNuts"/>
    <n v="488"/>
    <n v="148"/>
    <n v="72224"/>
    <x v="0"/>
  </r>
  <r>
    <s v="ORD1472"/>
    <x v="472"/>
    <s v="Germany"/>
    <s v="Frankfurt"/>
    <s v="Customer_560"/>
    <x v="6"/>
    <s v="Nutty Delight"/>
    <s v="TruffleBite"/>
    <n v="215"/>
    <n v="111"/>
    <n v="23865"/>
    <x v="0"/>
  </r>
  <r>
    <s v="ORD1473"/>
    <x v="473"/>
    <s v="India"/>
    <s v="Delhi"/>
    <s v="Customer_179"/>
    <x v="9"/>
    <s v="Dark Chocolate"/>
    <s v="DarkMagic"/>
    <n v="207"/>
    <n v="335"/>
    <n v="69345"/>
    <x v="2"/>
  </r>
  <r>
    <s v="ORD1474"/>
    <x v="474"/>
    <s v="Canada"/>
    <s v="Montreal"/>
    <s v="Customer_233"/>
    <x v="6"/>
    <s v="Dark Chocolate"/>
    <s v="MilkyBar"/>
    <n v="405"/>
    <n v="71"/>
    <n v="28755"/>
    <x v="2"/>
  </r>
  <r>
    <s v="ORD1475"/>
    <x v="475"/>
    <s v="Canada"/>
    <s v="Montreal"/>
    <s v="Customer_645"/>
    <x v="1"/>
    <s v="Premium Truffle"/>
    <s v="Silk"/>
    <n v="409"/>
    <n v="261"/>
    <n v="106749"/>
    <x v="3"/>
  </r>
  <r>
    <s v="ORD1476"/>
    <x v="476"/>
    <s v="Germany"/>
    <s v="Hamburg"/>
    <s v="Customer_141"/>
    <x v="1"/>
    <s v="Nutty Delight"/>
    <s v="CocoaTreat"/>
    <n v="346"/>
    <n v="175"/>
    <n v="60550"/>
    <x v="0"/>
  </r>
  <r>
    <s v="ORD1477"/>
    <x v="477"/>
    <s v="UK"/>
    <s v="Manchester"/>
    <s v="Customer_975"/>
    <x v="8"/>
    <s v="Premium Truffle"/>
    <s v="CocoaTreat"/>
    <n v="96"/>
    <n v="462"/>
    <n v="44352"/>
    <x v="0"/>
  </r>
  <r>
    <s v="ORD1478"/>
    <x v="478"/>
    <s v="UAE"/>
    <s v="Abu Dhabi"/>
    <s v="Customer_530"/>
    <x v="6"/>
    <s v="Premium Truffle"/>
    <s v="CocoaTreat"/>
    <n v="151"/>
    <n v="474"/>
    <n v="71574"/>
    <x v="0"/>
  </r>
  <r>
    <s v="ORD1479"/>
    <x v="479"/>
    <s v="UAE"/>
    <s v="Dubai"/>
    <s v="Customer_805"/>
    <x v="2"/>
    <s v="Dark Chocolate"/>
    <s v="SweetNuts"/>
    <n v="326"/>
    <n v="91"/>
    <n v="29666"/>
    <x v="3"/>
  </r>
  <r>
    <s v="ORD1480"/>
    <x v="480"/>
    <s v="Germany"/>
    <s v="Hamburg"/>
    <s v="Customer_803"/>
    <x v="0"/>
    <s v="Premium Truffle"/>
    <s v="CocoaTreat"/>
    <n v="208"/>
    <n v="147"/>
    <n v="30576"/>
    <x v="0"/>
  </r>
  <r>
    <s v="ORD1481"/>
    <x v="481"/>
    <s v="USA"/>
    <s v="New York"/>
    <s v="Customer_610"/>
    <x v="1"/>
    <s v="Dark Chocolate"/>
    <s v="CrunchyJoy"/>
    <n v="55"/>
    <n v="498"/>
    <n v="27390"/>
    <x v="2"/>
  </r>
  <r>
    <s v="ORD1482"/>
    <x v="482"/>
    <s v="USA"/>
    <s v="Los Angeles"/>
    <s v="Customer_825"/>
    <x v="8"/>
    <s v="Milk Chocolate"/>
    <s v="CocoaTreat"/>
    <n v="297"/>
    <n v="80"/>
    <n v="23760"/>
    <x v="0"/>
  </r>
  <r>
    <s v="ORD1483"/>
    <x v="483"/>
    <s v="UAE"/>
    <s v="Sharjah"/>
    <s v="Customer_392"/>
    <x v="0"/>
    <s v="Nutty Delight"/>
    <s v="TruffleBite"/>
    <n v="24"/>
    <n v="207"/>
    <n v="4968"/>
    <x v="1"/>
  </r>
  <r>
    <s v="ORD1484"/>
    <x v="484"/>
    <s v="UAE"/>
    <s v="Sharjah"/>
    <s v="Customer_182"/>
    <x v="6"/>
    <s v="Premium Truffle"/>
    <s v="MilkyBar"/>
    <n v="53"/>
    <n v="161"/>
    <n v="8533"/>
    <x v="2"/>
  </r>
  <r>
    <s v="ORD1485"/>
    <x v="485"/>
    <s v="Canada"/>
    <s v="Montreal"/>
    <s v="Customer_989"/>
    <x v="6"/>
    <s v="Dark Chocolate"/>
    <s v="CocoaTreat"/>
    <n v="410"/>
    <n v="451"/>
    <n v="184910"/>
    <x v="3"/>
  </r>
  <r>
    <s v="ORD1486"/>
    <x v="486"/>
    <s v="UK"/>
    <s v="Liverpool"/>
    <s v="Customer_124"/>
    <x v="7"/>
    <s v="White Chocolate"/>
    <s v="CocoaTreat"/>
    <n v="178"/>
    <n v="296"/>
    <n v="52688"/>
    <x v="0"/>
  </r>
  <r>
    <s v="ORD1487"/>
    <x v="487"/>
    <s v="India"/>
    <s v="Bangalore"/>
    <s v="Customer_911"/>
    <x v="8"/>
    <s v="Premium Truffle"/>
    <s v="DarkMagic"/>
    <n v="319"/>
    <n v="171"/>
    <n v="54549"/>
    <x v="1"/>
  </r>
  <r>
    <s v="ORD1488"/>
    <x v="488"/>
    <s v="USA"/>
    <s v="New York"/>
    <s v="Customer_471"/>
    <x v="1"/>
    <s v="Milk Chocolate"/>
    <s v="MilkyBar"/>
    <n v="53"/>
    <n v="322"/>
    <n v="17066"/>
    <x v="3"/>
  </r>
  <r>
    <s v="ORD1489"/>
    <x v="489"/>
    <s v="UAE"/>
    <s v="Abu Dhabi"/>
    <s v="Customer_481"/>
    <x v="2"/>
    <s v="Milk Chocolate"/>
    <s v="CocoaTreat"/>
    <n v="107"/>
    <n v="343"/>
    <n v="36701"/>
    <x v="3"/>
  </r>
  <r>
    <s v="ORD1490"/>
    <x v="490"/>
    <s v="Canada"/>
    <s v="Montreal"/>
    <s v="Customer_254"/>
    <x v="6"/>
    <s v="White Chocolate"/>
    <s v="SweetNuts"/>
    <n v="270"/>
    <n v="447"/>
    <n v="120690"/>
    <x v="2"/>
  </r>
  <r>
    <s v="ORD1491"/>
    <x v="491"/>
    <s v="Australia"/>
    <s v="Sydney"/>
    <s v="Customer_132"/>
    <x v="2"/>
    <s v="Dark Chocolate"/>
    <s v="ChocoLuxe"/>
    <n v="118"/>
    <n v="256"/>
    <n v="30208"/>
    <x v="3"/>
  </r>
  <r>
    <s v="ORD1492"/>
    <x v="492"/>
    <s v="Canada"/>
    <s v="Montreal"/>
    <s v="Customer_596"/>
    <x v="6"/>
    <s v="Premium Truffle"/>
    <s v="CrunchyJoy"/>
    <n v="292"/>
    <n v="159"/>
    <n v="46428"/>
    <x v="3"/>
  </r>
  <r>
    <s v="ORD1493"/>
    <x v="493"/>
    <s v="USA"/>
    <s v="Los Angeles"/>
    <s v="Customer_696"/>
    <x v="1"/>
    <s v="Dark Chocolate"/>
    <s v="SweetNuts"/>
    <n v="381"/>
    <n v="489"/>
    <n v="186309"/>
    <x v="3"/>
  </r>
  <r>
    <s v="ORD1494"/>
    <x v="494"/>
    <s v="USA"/>
    <s v="New York"/>
    <s v="Customer_941"/>
    <x v="0"/>
    <s v="Milk Chocolate"/>
    <s v="Silk"/>
    <n v="352"/>
    <n v="327"/>
    <n v="115104"/>
    <x v="3"/>
  </r>
  <r>
    <s v="ORD1495"/>
    <x v="495"/>
    <s v="Canada"/>
    <s v="Vancouver"/>
    <s v="Customer_614"/>
    <x v="4"/>
    <s v="Dark Chocolate"/>
    <s v="SweetNuts"/>
    <n v="113"/>
    <n v="105"/>
    <n v="11865"/>
    <x v="0"/>
  </r>
  <r>
    <s v="ORD1496"/>
    <x v="496"/>
    <s v="India"/>
    <s v="Delhi"/>
    <s v="Customer_781"/>
    <x v="0"/>
    <s v="Milk Chocolate"/>
    <s v="DarkMagic"/>
    <n v="265"/>
    <n v="424"/>
    <n v="112360"/>
    <x v="0"/>
  </r>
  <r>
    <s v="ORD1497"/>
    <x v="497"/>
    <s v="Germany"/>
    <s v="Berlin"/>
    <s v="Customer_619"/>
    <x v="6"/>
    <s v="Dark Chocolate"/>
    <s v="DarkMagic"/>
    <n v="388"/>
    <n v="452"/>
    <n v="175376"/>
    <x v="0"/>
  </r>
  <r>
    <s v="ORD1498"/>
    <x v="498"/>
    <s v="USA"/>
    <s v="New York"/>
    <s v="Customer_256"/>
    <x v="3"/>
    <s v="White Chocolate"/>
    <s v="CocoaTreat"/>
    <n v="215"/>
    <n v="106"/>
    <n v="22790"/>
    <x v="0"/>
  </r>
  <r>
    <s v="ORD1499"/>
    <x v="499"/>
    <s v="Canada"/>
    <s v="Toronto"/>
    <s v="Customer_766"/>
    <x v="4"/>
    <s v="Nutty Delight"/>
    <s v="SweetNuts"/>
    <n v="344"/>
    <n v="477"/>
    <n v="164088"/>
    <x v="1"/>
  </r>
  <r>
    <s v="ORD1500"/>
    <x v="500"/>
    <s v="UAE"/>
    <s v="Dubai"/>
    <s v="Customer_881"/>
    <x v="4"/>
    <s v="White Chocolate"/>
    <s v="DarkMagic"/>
    <n v="52"/>
    <n v="340"/>
    <n v="17680"/>
    <x v="0"/>
  </r>
  <r>
    <s v="ORD1501"/>
    <x v="501"/>
    <s v="Canada"/>
    <s v="Toronto"/>
    <s v="Customer_103"/>
    <x v="2"/>
    <s v="White Chocolate"/>
    <s v="ChocoLuxe"/>
    <n v="362"/>
    <n v="163"/>
    <n v="59006"/>
    <x v="3"/>
  </r>
  <r>
    <s v="ORD1502"/>
    <x v="502"/>
    <s v="UK"/>
    <s v="London"/>
    <s v="Customer_816"/>
    <x v="8"/>
    <s v="Nutty Delight"/>
    <s v="MilkyBar"/>
    <n v="254"/>
    <n v="430"/>
    <n v="109220"/>
    <x v="0"/>
  </r>
  <r>
    <s v="ORD1503"/>
    <x v="503"/>
    <s v="Germany"/>
    <s v="Berlin"/>
    <s v="Customer_836"/>
    <x v="2"/>
    <s v="Nutty Delight"/>
    <s v="SweetNuts"/>
    <n v="296"/>
    <n v="434"/>
    <n v="128464"/>
    <x v="0"/>
  </r>
  <r>
    <s v="ORD1504"/>
    <x v="504"/>
    <s v="Australia"/>
    <s v="Brisbane"/>
    <s v="Customer_439"/>
    <x v="2"/>
    <s v="Premium Truffle"/>
    <s v="CrunchyJoy"/>
    <n v="364"/>
    <n v="357"/>
    <n v="129948"/>
    <x v="2"/>
  </r>
  <r>
    <s v="ORD1505"/>
    <x v="505"/>
    <s v="India"/>
    <s v="Delhi"/>
    <s v="Customer_466"/>
    <x v="3"/>
    <s v="Premium Truffle"/>
    <s v="ChocoLuxe"/>
    <n v="282"/>
    <n v="390"/>
    <n v="109980"/>
    <x v="3"/>
  </r>
  <r>
    <s v="ORD1506"/>
    <x v="506"/>
    <s v="Australia"/>
    <s v="Sydney"/>
    <s v="Customer_834"/>
    <x v="0"/>
    <s v="White Chocolate"/>
    <s v="CocoaTreat"/>
    <n v="485"/>
    <n v="247"/>
    <n v="119795"/>
    <x v="0"/>
  </r>
  <r>
    <s v="ORD1507"/>
    <x v="507"/>
    <s v="Germany"/>
    <s v="Frankfurt"/>
    <s v="Customer_286"/>
    <x v="0"/>
    <s v="White Chocolate"/>
    <s v="MilkyBar"/>
    <n v="92"/>
    <n v="470"/>
    <n v="43240"/>
    <x v="0"/>
  </r>
  <r>
    <s v="ORD1508"/>
    <x v="508"/>
    <s v="Germany"/>
    <s v="Frankfurt"/>
    <s v="Customer_457"/>
    <x v="9"/>
    <s v="Milk Chocolate"/>
    <s v="CrunchyJoy"/>
    <n v="119"/>
    <n v="370"/>
    <n v="44030"/>
    <x v="0"/>
  </r>
  <r>
    <s v="ORD1509"/>
    <x v="509"/>
    <s v="Germany"/>
    <s v="Frankfurt"/>
    <s v="Customer_978"/>
    <x v="6"/>
    <s v="Milk Chocolate"/>
    <s v="CocoaTreat"/>
    <n v="447"/>
    <n v="228"/>
    <n v="101916"/>
    <x v="1"/>
  </r>
  <r>
    <s v="ORD1510"/>
    <x v="510"/>
    <s v="Australia"/>
    <s v="Melbourne"/>
    <s v="Customer_717"/>
    <x v="3"/>
    <s v="Premium Truffle"/>
    <s v="CrunchyJoy"/>
    <n v="199"/>
    <n v="434"/>
    <n v="86366"/>
    <x v="0"/>
  </r>
  <r>
    <s v="ORD1511"/>
    <x v="511"/>
    <s v="UAE"/>
    <s v="Dubai"/>
    <s v="Customer_585"/>
    <x v="9"/>
    <s v="Premium Truffle"/>
    <s v="CocoaTreat"/>
    <n v="480"/>
    <n v="268"/>
    <n v="128640"/>
    <x v="2"/>
  </r>
  <r>
    <s v="ORD1512"/>
    <x v="512"/>
    <s v="Germany"/>
    <s v="Hamburg"/>
    <s v="Customer_199"/>
    <x v="1"/>
    <s v="Milk Chocolate"/>
    <s v="CrunchyJoy"/>
    <n v="297"/>
    <n v="326"/>
    <n v="96822"/>
    <x v="3"/>
  </r>
  <r>
    <s v="ORD1513"/>
    <x v="513"/>
    <s v="Canada"/>
    <s v="Calgary"/>
    <s v="Customer_749"/>
    <x v="6"/>
    <s v="Milk Chocolate"/>
    <s v="MilkyBar"/>
    <n v="433"/>
    <n v="486"/>
    <n v="210438"/>
    <x v="3"/>
  </r>
  <r>
    <s v="ORD1514"/>
    <x v="514"/>
    <s v="Australia"/>
    <s v="Brisbane"/>
    <s v="Customer_512"/>
    <x v="6"/>
    <s v="Dark Chocolate"/>
    <s v="ChocoLuxe"/>
    <n v="406"/>
    <n v="65"/>
    <n v="26390"/>
    <x v="0"/>
  </r>
  <r>
    <s v="ORD1515"/>
    <x v="515"/>
    <s v="Germany"/>
    <s v="Munich"/>
    <s v="Customer_103"/>
    <x v="7"/>
    <s v="Dark Chocolate"/>
    <s v="CrunchyJoy"/>
    <n v="260"/>
    <n v="428"/>
    <n v="111280"/>
    <x v="0"/>
  </r>
  <r>
    <s v="ORD1516"/>
    <x v="516"/>
    <s v="Canada"/>
    <s v="Vancouver"/>
    <s v="Customer_333"/>
    <x v="7"/>
    <s v="Milk Chocolate"/>
    <s v="CrunchyJoy"/>
    <n v="221"/>
    <n v="110"/>
    <n v="24310"/>
    <x v="0"/>
  </r>
  <r>
    <s v="ORD1517"/>
    <x v="517"/>
    <s v="UAE"/>
    <s v="Abu Dhabi"/>
    <s v="Customer_523"/>
    <x v="5"/>
    <s v="Dark Chocolate"/>
    <s v="TruffleBite"/>
    <n v="300"/>
    <n v="103"/>
    <n v="30900"/>
    <x v="3"/>
  </r>
  <r>
    <s v="ORD1518"/>
    <x v="518"/>
    <s v="UK"/>
    <s v="Liverpool"/>
    <s v="Customer_356"/>
    <x v="5"/>
    <s v="Nutty Delight"/>
    <s v="SweetNuts"/>
    <n v="142"/>
    <n v="217"/>
    <n v="30814"/>
    <x v="3"/>
  </r>
  <r>
    <s v="ORD1519"/>
    <x v="519"/>
    <s v="UAE"/>
    <s v="Sharjah"/>
    <s v="Customer_618"/>
    <x v="2"/>
    <s v="Premium Truffle"/>
    <s v="MilkyBar"/>
    <n v="210"/>
    <n v="75"/>
    <n v="15750"/>
    <x v="1"/>
  </r>
  <r>
    <s v="ORD1520"/>
    <x v="520"/>
    <s v="Germany"/>
    <s v="Berlin"/>
    <s v="Customer_944"/>
    <x v="1"/>
    <s v="Premium Truffle"/>
    <s v="CocoaTreat"/>
    <n v="294"/>
    <n v="385"/>
    <n v="113190"/>
    <x v="2"/>
  </r>
  <r>
    <s v="ORD1521"/>
    <x v="521"/>
    <s v="Australia"/>
    <s v="Perth"/>
    <s v="Customer_902"/>
    <x v="4"/>
    <s v="Milk Chocolate"/>
    <s v="MilkyBar"/>
    <n v="335"/>
    <n v="114"/>
    <n v="38190"/>
    <x v="1"/>
  </r>
  <r>
    <s v="ORD1522"/>
    <x v="522"/>
    <s v="USA"/>
    <s v="Chicago"/>
    <s v="Customer_377"/>
    <x v="4"/>
    <s v="White Chocolate"/>
    <s v="DarkMagic"/>
    <n v="418"/>
    <n v="149"/>
    <n v="62282"/>
    <x v="2"/>
  </r>
  <r>
    <s v="ORD1523"/>
    <x v="523"/>
    <s v="Germany"/>
    <s v="Frankfurt"/>
    <s v="Customer_108"/>
    <x v="7"/>
    <s v="Milk Chocolate"/>
    <s v="CocoaTreat"/>
    <n v="104"/>
    <n v="123"/>
    <n v="12792"/>
    <x v="1"/>
  </r>
  <r>
    <s v="ORD1524"/>
    <x v="524"/>
    <s v="USA"/>
    <s v="New York"/>
    <s v="Customer_733"/>
    <x v="7"/>
    <s v="Dark Chocolate"/>
    <s v="MilkyBar"/>
    <n v="287"/>
    <n v="241"/>
    <n v="69167"/>
    <x v="3"/>
  </r>
  <r>
    <s v="ORD1525"/>
    <x v="525"/>
    <s v="Canada"/>
    <s v="Toronto"/>
    <s v="Customer_262"/>
    <x v="7"/>
    <s v="White Chocolate"/>
    <s v="ChocoLuxe"/>
    <n v="459"/>
    <n v="220"/>
    <n v="100980"/>
    <x v="1"/>
  </r>
  <r>
    <s v="ORD1526"/>
    <x v="526"/>
    <s v="UK"/>
    <s v="London"/>
    <s v="Customer_361"/>
    <x v="3"/>
    <s v="Dark Chocolate"/>
    <s v="CocoaTreat"/>
    <n v="438"/>
    <n v="322"/>
    <n v="141036"/>
    <x v="2"/>
  </r>
  <r>
    <s v="ORD1527"/>
    <x v="527"/>
    <s v="India"/>
    <s v="Delhi"/>
    <s v="Customer_976"/>
    <x v="8"/>
    <s v="Nutty Delight"/>
    <s v="CocoaTreat"/>
    <n v="334"/>
    <n v="426"/>
    <n v="142284"/>
    <x v="0"/>
  </r>
  <r>
    <s v="ORD1528"/>
    <x v="528"/>
    <s v="UAE"/>
    <s v="Dubai"/>
    <s v="Customer_190"/>
    <x v="5"/>
    <s v="Dark Chocolate"/>
    <s v="MilkyBar"/>
    <n v="228"/>
    <n v="236"/>
    <n v="53808"/>
    <x v="2"/>
  </r>
  <r>
    <s v="ORD1529"/>
    <x v="529"/>
    <s v="UK"/>
    <s v="Birmingham"/>
    <s v="Customer_903"/>
    <x v="3"/>
    <s v="Nutty Delight"/>
    <s v="CocoaTreat"/>
    <n v="98"/>
    <n v="72"/>
    <n v="7056"/>
    <x v="0"/>
  </r>
  <r>
    <s v="ORD1530"/>
    <x v="530"/>
    <s v="Germany"/>
    <s v="Berlin"/>
    <s v="Customer_121"/>
    <x v="0"/>
    <s v="Nutty Delight"/>
    <s v="TruffleBite"/>
    <n v="81"/>
    <n v="440"/>
    <n v="35640"/>
    <x v="3"/>
  </r>
  <r>
    <s v="ORD1531"/>
    <x v="531"/>
    <s v="USA"/>
    <s v="Houston"/>
    <s v="Customer_608"/>
    <x v="4"/>
    <s v="Dark Chocolate"/>
    <s v="SweetNuts"/>
    <n v="256"/>
    <n v="477"/>
    <n v="122112"/>
    <x v="2"/>
  </r>
  <r>
    <s v="ORD1532"/>
    <x v="532"/>
    <s v="UAE"/>
    <s v="Abu Dhabi"/>
    <s v="Customer_545"/>
    <x v="6"/>
    <s v="Dark Chocolate"/>
    <s v="CocoaTreat"/>
    <n v="138"/>
    <n v="230"/>
    <n v="31740"/>
    <x v="1"/>
  </r>
  <r>
    <s v="ORD1533"/>
    <x v="533"/>
    <s v="USA"/>
    <s v="Chicago"/>
    <s v="Customer_314"/>
    <x v="5"/>
    <s v="Nutty Delight"/>
    <s v="SweetNuts"/>
    <n v="221"/>
    <n v="376"/>
    <n v="83096"/>
    <x v="2"/>
  </r>
  <r>
    <s v="ORD1534"/>
    <x v="534"/>
    <s v="Australia"/>
    <s v="Perth"/>
    <s v="Customer_865"/>
    <x v="9"/>
    <s v="White Chocolate"/>
    <s v="MilkyBar"/>
    <n v="437"/>
    <n v="157"/>
    <n v="68609"/>
    <x v="0"/>
  </r>
  <r>
    <s v="ORD1535"/>
    <x v="535"/>
    <s v="USA"/>
    <s v="San Francisco"/>
    <s v="Customer_813"/>
    <x v="0"/>
    <s v="Nutty Delight"/>
    <s v="CrunchyJoy"/>
    <n v="352"/>
    <n v="384"/>
    <n v="135168"/>
    <x v="3"/>
  </r>
  <r>
    <s v="ORD1536"/>
    <x v="536"/>
    <s v="Australia"/>
    <s v="Sydney"/>
    <s v="Customer_344"/>
    <x v="5"/>
    <s v="Premium Truffle"/>
    <s v="Silk"/>
    <n v="105"/>
    <n v="211"/>
    <n v="22155"/>
    <x v="1"/>
  </r>
  <r>
    <s v="ORD1537"/>
    <x v="537"/>
    <s v="Canada"/>
    <s v="Montreal"/>
    <s v="Customer_412"/>
    <x v="3"/>
    <s v="Nutty Delight"/>
    <s v="Silk"/>
    <n v="84"/>
    <n v="351"/>
    <n v="29484"/>
    <x v="2"/>
  </r>
  <r>
    <s v="ORD1538"/>
    <x v="538"/>
    <s v="UAE"/>
    <s v="Dubai"/>
    <s v="Customer_809"/>
    <x v="1"/>
    <s v="White Chocolate"/>
    <s v="CrunchyJoy"/>
    <n v="432"/>
    <n v="255"/>
    <n v="110160"/>
    <x v="0"/>
  </r>
  <r>
    <s v="ORD1539"/>
    <x v="539"/>
    <s v="UAE"/>
    <s v="Abu Dhabi"/>
    <s v="Customer_490"/>
    <x v="6"/>
    <s v="Premium Truffle"/>
    <s v="CrunchyJoy"/>
    <n v="63"/>
    <n v="127"/>
    <n v="8001"/>
    <x v="1"/>
  </r>
  <r>
    <s v="ORD1540"/>
    <x v="540"/>
    <s v="India"/>
    <s v="Mumbai"/>
    <s v="Customer_459"/>
    <x v="5"/>
    <s v="Milk Chocolate"/>
    <s v="CrunchyJoy"/>
    <n v="353"/>
    <n v="65"/>
    <n v="22945"/>
    <x v="3"/>
  </r>
  <r>
    <s v="ORD1541"/>
    <x v="541"/>
    <s v="Germany"/>
    <s v="Munich"/>
    <s v="Customer_802"/>
    <x v="8"/>
    <s v="Milk Chocolate"/>
    <s v="ChocoLuxe"/>
    <n v="468"/>
    <n v="376"/>
    <n v="175968"/>
    <x v="1"/>
  </r>
  <r>
    <s v="ORD1542"/>
    <x v="542"/>
    <s v="Australia"/>
    <s v="Sydney"/>
    <s v="Customer_530"/>
    <x v="7"/>
    <s v="White Chocolate"/>
    <s v="Silk"/>
    <n v="422"/>
    <n v="145"/>
    <n v="61190"/>
    <x v="3"/>
  </r>
  <r>
    <s v="ORD1543"/>
    <x v="543"/>
    <s v="India"/>
    <s v="Hyderabad"/>
    <s v="Customer_910"/>
    <x v="7"/>
    <s v="Nutty Delight"/>
    <s v="CrunchyJoy"/>
    <n v="63"/>
    <n v="196"/>
    <n v="12348"/>
    <x v="1"/>
  </r>
  <r>
    <s v="ORD1544"/>
    <x v="544"/>
    <s v="USA"/>
    <s v="Chicago"/>
    <s v="Customer_456"/>
    <x v="6"/>
    <s v="Dark Chocolate"/>
    <s v="ChocoLuxe"/>
    <n v="227"/>
    <n v="51"/>
    <n v="11577"/>
    <x v="2"/>
  </r>
  <r>
    <s v="ORD1545"/>
    <x v="545"/>
    <s v="USA"/>
    <s v="Los Angeles"/>
    <s v="Customer_211"/>
    <x v="3"/>
    <s v="White Chocolate"/>
    <s v="DarkMagic"/>
    <n v="25"/>
    <n v="59"/>
    <n v="1475"/>
    <x v="0"/>
  </r>
  <r>
    <s v="ORD1546"/>
    <x v="546"/>
    <s v="India"/>
    <s v="Mumbai"/>
    <s v="Customer_863"/>
    <x v="7"/>
    <s v="Premium Truffle"/>
    <s v="CocoaTreat"/>
    <n v="108"/>
    <n v="483"/>
    <n v="52164"/>
    <x v="2"/>
  </r>
  <r>
    <s v="ORD1547"/>
    <x v="547"/>
    <s v="UAE"/>
    <s v="Dubai"/>
    <s v="Customer_551"/>
    <x v="5"/>
    <s v="Premium Truffle"/>
    <s v="ChocoLuxe"/>
    <n v="29"/>
    <n v="174"/>
    <n v="5046"/>
    <x v="2"/>
  </r>
  <r>
    <s v="ORD1548"/>
    <x v="548"/>
    <s v="USA"/>
    <s v="Los Angeles"/>
    <s v="Customer_150"/>
    <x v="9"/>
    <s v="Milk Chocolate"/>
    <s v="Silk"/>
    <n v="55"/>
    <n v="130"/>
    <n v="7150"/>
    <x v="3"/>
  </r>
  <r>
    <s v="ORD1549"/>
    <x v="549"/>
    <s v="Canada"/>
    <s v="Montreal"/>
    <s v="Customer_757"/>
    <x v="4"/>
    <s v="Premium Truffle"/>
    <s v="MilkyBar"/>
    <n v="460"/>
    <n v="189"/>
    <n v="86940"/>
    <x v="3"/>
  </r>
  <r>
    <s v="ORD1550"/>
    <x v="550"/>
    <s v="Canada"/>
    <s v="Calgary"/>
    <s v="Customer_575"/>
    <x v="4"/>
    <s v="White Chocolate"/>
    <s v="DarkMagic"/>
    <n v="202"/>
    <n v="375"/>
    <n v="75750"/>
    <x v="3"/>
  </r>
  <r>
    <s v="ORD1551"/>
    <x v="551"/>
    <s v="India"/>
    <s v="Delhi"/>
    <s v="Customer_816"/>
    <x v="0"/>
    <s v="Premium Truffle"/>
    <s v="Silk"/>
    <n v="392"/>
    <n v="199"/>
    <n v="78008"/>
    <x v="2"/>
  </r>
  <r>
    <s v="ORD1552"/>
    <x v="552"/>
    <s v="Australia"/>
    <s v="Perth"/>
    <s v="Customer_578"/>
    <x v="2"/>
    <s v="White Chocolate"/>
    <s v="CocoaTreat"/>
    <n v="67"/>
    <n v="337"/>
    <n v="22579"/>
    <x v="1"/>
  </r>
  <r>
    <s v="ORD1553"/>
    <x v="553"/>
    <s v="Australia"/>
    <s v="Brisbane"/>
    <s v="Customer_467"/>
    <x v="1"/>
    <s v="Dark Chocolate"/>
    <s v="ChocoLuxe"/>
    <n v="446"/>
    <n v="410"/>
    <n v="182860"/>
    <x v="1"/>
  </r>
  <r>
    <s v="ORD1554"/>
    <x v="554"/>
    <s v="India"/>
    <s v="Mumbai"/>
    <s v="Customer_829"/>
    <x v="6"/>
    <s v="Milk Chocolate"/>
    <s v="TruffleBite"/>
    <n v="120"/>
    <n v="389"/>
    <n v="46680"/>
    <x v="2"/>
  </r>
  <r>
    <s v="ORD1555"/>
    <x v="555"/>
    <s v="Australia"/>
    <s v="Brisbane"/>
    <s v="Customer_755"/>
    <x v="0"/>
    <s v="Premium Truffle"/>
    <s v="SweetNuts"/>
    <n v="138"/>
    <n v="178"/>
    <n v="24564"/>
    <x v="2"/>
  </r>
  <r>
    <s v="ORD1556"/>
    <x v="556"/>
    <s v="UAE"/>
    <s v="Abu Dhabi"/>
    <s v="Customer_459"/>
    <x v="2"/>
    <s v="White Chocolate"/>
    <s v="CocoaTreat"/>
    <n v="346"/>
    <n v="487"/>
    <n v="168502"/>
    <x v="0"/>
  </r>
  <r>
    <s v="ORD1557"/>
    <x v="557"/>
    <s v="UAE"/>
    <s v="Dubai"/>
    <s v="Customer_393"/>
    <x v="3"/>
    <s v="Nutty Delight"/>
    <s v="Silk"/>
    <n v="203"/>
    <n v="288"/>
    <n v="58464"/>
    <x v="3"/>
  </r>
  <r>
    <s v="ORD1558"/>
    <x v="558"/>
    <s v="Australia"/>
    <s v="Melbourne"/>
    <s v="Customer_914"/>
    <x v="8"/>
    <s v="Milk Chocolate"/>
    <s v="CrunchyJoy"/>
    <n v="422"/>
    <n v="107"/>
    <n v="45154"/>
    <x v="3"/>
  </r>
  <r>
    <s v="ORD1559"/>
    <x v="559"/>
    <s v="Canada"/>
    <s v="Vancouver"/>
    <s v="Customer_622"/>
    <x v="8"/>
    <s v="Dark Chocolate"/>
    <s v="ChocoLuxe"/>
    <n v="349"/>
    <n v="247"/>
    <n v="86203"/>
    <x v="2"/>
  </r>
  <r>
    <s v="ORD1560"/>
    <x v="560"/>
    <s v="Australia"/>
    <s v="Brisbane"/>
    <s v="Customer_708"/>
    <x v="1"/>
    <s v="White Chocolate"/>
    <s v="CrunchyJoy"/>
    <n v="335"/>
    <n v="260"/>
    <n v="87100"/>
    <x v="2"/>
  </r>
  <r>
    <s v="ORD1561"/>
    <x v="561"/>
    <s v="UAE"/>
    <s v="Abu Dhabi"/>
    <s v="Customer_367"/>
    <x v="7"/>
    <s v="Dark Chocolate"/>
    <s v="CrunchyJoy"/>
    <n v="17"/>
    <n v="451"/>
    <n v="7667"/>
    <x v="1"/>
  </r>
  <r>
    <s v="ORD1562"/>
    <x v="562"/>
    <s v="UK"/>
    <s v="Birmingham"/>
    <s v="Customer_119"/>
    <x v="5"/>
    <s v="Dark Chocolate"/>
    <s v="CrunchyJoy"/>
    <n v="38"/>
    <n v="439"/>
    <n v="16682"/>
    <x v="2"/>
  </r>
  <r>
    <s v="ORD1563"/>
    <x v="563"/>
    <s v="Germany"/>
    <s v="Berlin"/>
    <s v="Customer_289"/>
    <x v="0"/>
    <s v="Premium Truffle"/>
    <s v="CrunchyJoy"/>
    <n v="121"/>
    <n v="94"/>
    <n v="11374"/>
    <x v="1"/>
  </r>
  <r>
    <s v="ORD1564"/>
    <x v="564"/>
    <s v="USA"/>
    <s v="New York"/>
    <s v="Customer_905"/>
    <x v="0"/>
    <s v="Premium Truffle"/>
    <s v="CrunchyJoy"/>
    <n v="444"/>
    <n v="146"/>
    <n v="64824"/>
    <x v="2"/>
  </r>
  <r>
    <s v="ORD1565"/>
    <x v="565"/>
    <s v="UK"/>
    <s v="Birmingham"/>
    <s v="Customer_671"/>
    <x v="6"/>
    <s v="White Chocolate"/>
    <s v="DarkMagic"/>
    <n v="170"/>
    <n v="328"/>
    <n v="55760"/>
    <x v="0"/>
  </r>
  <r>
    <s v="ORD1566"/>
    <x v="566"/>
    <s v="Australia"/>
    <s v="Perth"/>
    <s v="Customer_636"/>
    <x v="6"/>
    <s v="Nutty Delight"/>
    <s v="Silk"/>
    <n v="140"/>
    <n v="72"/>
    <n v="10080"/>
    <x v="0"/>
  </r>
  <r>
    <s v="ORD1567"/>
    <x v="567"/>
    <s v="Canada"/>
    <s v="Calgary"/>
    <s v="Customer_442"/>
    <x v="8"/>
    <s v="White Chocolate"/>
    <s v="CocoaTreat"/>
    <n v="197"/>
    <n v="459"/>
    <n v="90423"/>
    <x v="1"/>
  </r>
  <r>
    <s v="ORD1568"/>
    <x v="568"/>
    <s v="India"/>
    <s v="Delhi"/>
    <s v="Customer_843"/>
    <x v="8"/>
    <s v="Nutty Delight"/>
    <s v="Silk"/>
    <n v="172"/>
    <n v="440"/>
    <n v="75680"/>
    <x v="3"/>
  </r>
  <r>
    <s v="ORD1569"/>
    <x v="569"/>
    <s v="Australia"/>
    <s v="Brisbane"/>
    <s v="Customer_710"/>
    <x v="9"/>
    <s v="Dark Chocolate"/>
    <s v="CocoaTreat"/>
    <n v="206"/>
    <n v="384"/>
    <n v="79104"/>
    <x v="0"/>
  </r>
  <r>
    <s v="ORD1570"/>
    <x v="570"/>
    <s v="Canada"/>
    <s v="Montreal"/>
    <s v="Customer_666"/>
    <x v="9"/>
    <s v="Milk Chocolate"/>
    <s v="SweetNuts"/>
    <n v="484"/>
    <n v="93"/>
    <n v="45012"/>
    <x v="1"/>
  </r>
  <r>
    <s v="ORD1571"/>
    <x v="571"/>
    <s v="Germany"/>
    <s v="Berlin"/>
    <s v="Customer_890"/>
    <x v="7"/>
    <s v="White Chocolate"/>
    <s v="ChocoLuxe"/>
    <n v="373"/>
    <n v="76"/>
    <n v="28348"/>
    <x v="2"/>
  </r>
  <r>
    <s v="ORD1572"/>
    <x v="572"/>
    <s v="Australia"/>
    <s v="Melbourne"/>
    <s v="Customer_835"/>
    <x v="9"/>
    <s v="White Chocolate"/>
    <s v="TruffleBite"/>
    <n v="213"/>
    <n v="331"/>
    <n v="70503"/>
    <x v="2"/>
  </r>
  <r>
    <s v="ORD1573"/>
    <x v="573"/>
    <s v="UAE"/>
    <s v="Sharjah"/>
    <s v="Customer_542"/>
    <x v="5"/>
    <s v="Nutty Delight"/>
    <s v="DarkMagic"/>
    <n v="221"/>
    <n v="146"/>
    <n v="32266"/>
    <x v="1"/>
  </r>
  <r>
    <s v="ORD1574"/>
    <x v="574"/>
    <s v="India"/>
    <s v="Hyderabad"/>
    <s v="Customer_174"/>
    <x v="5"/>
    <s v="Dark Chocolate"/>
    <s v="ChocoLuxe"/>
    <n v="118"/>
    <n v="85"/>
    <n v="10030"/>
    <x v="3"/>
  </r>
  <r>
    <s v="ORD1575"/>
    <x v="575"/>
    <s v="Canada"/>
    <s v="Montreal"/>
    <s v="Customer_885"/>
    <x v="0"/>
    <s v="Dark Chocolate"/>
    <s v="DarkMagic"/>
    <n v="285"/>
    <n v="158"/>
    <n v="45030"/>
    <x v="1"/>
  </r>
  <r>
    <s v="ORD1576"/>
    <x v="576"/>
    <s v="Canada"/>
    <s v="Montreal"/>
    <s v="Customer_656"/>
    <x v="4"/>
    <s v="Nutty Delight"/>
    <s v="CocoaTreat"/>
    <n v="82"/>
    <n v="104"/>
    <n v="8528"/>
    <x v="1"/>
  </r>
  <r>
    <s v="ORD1577"/>
    <x v="577"/>
    <s v="Canada"/>
    <s v="Vancouver"/>
    <s v="Customer_303"/>
    <x v="5"/>
    <s v="Dark Chocolate"/>
    <s v="Silk"/>
    <n v="176"/>
    <n v="241"/>
    <n v="42416"/>
    <x v="0"/>
  </r>
  <r>
    <s v="ORD1578"/>
    <x v="578"/>
    <s v="Germany"/>
    <s v="Frankfurt"/>
    <s v="Customer_717"/>
    <x v="2"/>
    <s v="Premium Truffle"/>
    <s v="CrunchyJoy"/>
    <n v="269"/>
    <n v="268"/>
    <n v="72092"/>
    <x v="1"/>
  </r>
  <r>
    <s v="ORD1579"/>
    <x v="579"/>
    <s v="Australia"/>
    <s v="Melbourne"/>
    <s v="Customer_953"/>
    <x v="8"/>
    <s v="Milk Chocolate"/>
    <s v="SweetNuts"/>
    <n v="252"/>
    <n v="234"/>
    <n v="58968"/>
    <x v="1"/>
  </r>
  <r>
    <s v="ORD1580"/>
    <x v="580"/>
    <s v="Germany"/>
    <s v="Frankfurt"/>
    <s v="Customer_248"/>
    <x v="6"/>
    <s v="White Chocolate"/>
    <s v="SweetNuts"/>
    <n v="284"/>
    <n v="118"/>
    <n v="33512"/>
    <x v="2"/>
  </r>
  <r>
    <s v="ORD1581"/>
    <x v="581"/>
    <s v="USA"/>
    <s v="New York"/>
    <s v="Customer_576"/>
    <x v="9"/>
    <s v="Milk Chocolate"/>
    <s v="MilkyBar"/>
    <n v="111"/>
    <n v="366"/>
    <n v="40626"/>
    <x v="0"/>
  </r>
  <r>
    <s v="ORD1582"/>
    <x v="582"/>
    <s v="USA"/>
    <s v="Chicago"/>
    <s v="Customer_924"/>
    <x v="0"/>
    <s v="White Chocolate"/>
    <s v="TruffleBite"/>
    <n v="484"/>
    <n v="179"/>
    <n v="86636"/>
    <x v="2"/>
  </r>
  <r>
    <s v="ORD1583"/>
    <x v="583"/>
    <s v="Australia"/>
    <s v="Perth"/>
    <s v="Customer_751"/>
    <x v="1"/>
    <s v="Premium Truffle"/>
    <s v="SweetNuts"/>
    <n v="182"/>
    <n v="104"/>
    <n v="18928"/>
    <x v="2"/>
  </r>
  <r>
    <s v="ORD1584"/>
    <x v="584"/>
    <s v="UAE"/>
    <s v="Dubai"/>
    <s v="Customer_289"/>
    <x v="6"/>
    <s v="Dark Chocolate"/>
    <s v="CrunchyJoy"/>
    <n v="180"/>
    <n v="427"/>
    <n v="76860"/>
    <x v="3"/>
  </r>
  <r>
    <s v="ORD1585"/>
    <x v="585"/>
    <s v="Germany"/>
    <s v="Munich"/>
    <s v="Customer_752"/>
    <x v="2"/>
    <s v="Nutty Delight"/>
    <s v="Silk"/>
    <n v="150"/>
    <n v="146"/>
    <n v="21900"/>
    <x v="3"/>
  </r>
  <r>
    <s v="ORD1586"/>
    <x v="586"/>
    <s v="India"/>
    <s v="Bangalore"/>
    <s v="Customer_830"/>
    <x v="9"/>
    <s v="Premium Truffle"/>
    <s v="TruffleBite"/>
    <n v="406"/>
    <n v="385"/>
    <n v="156310"/>
    <x v="0"/>
  </r>
  <r>
    <s v="ORD1587"/>
    <x v="587"/>
    <s v="Canada"/>
    <s v="Toronto"/>
    <s v="Customer_582"/>
    <x v="2"/>
    <s v="Milk Chocolate"/>
    <s v="CocoaTreat"/>
    <n v="197"/>
    <n v="136"/>
    <n v="26792"/>
    <x v="0"/>
  </r>
  <r>
    <s v="ORD1588"/>
    <x v="588"/>
    <s v="Canada"/>
    <s v="Montreal"/>
    <s v="Customer_378"/>
    <x v="8"/>
    <s v="Nutty Delight"/>
    <s v="ChocoLuxe"/>
    <n v="450"/>
    <n v="343"/>
    <n v="154350"/>
    <x v="3"/>
  </r>
  <r>
    <s v="ORD1589"/>
    <x v="589"/>
    <s v="Australia"/>
    <s v="Perth"/>
    <s v="Customer_629"/>
    <x v="8"/>
    <s v="Dark Chocolate"/>
    <s v="CocoaTreat"/>
    <n v="95"/>
    <n v="168"/>
    <n v="15960"/>
    <x v="3"/>
  </r>
  <r>
    <s v="ORD1590"/>
    <x v="590"/>
    <s v="UAE"/>
    <s v="Abu Dhabi"/>
    <s v="Customer_845"/>
    <x v="7"/>
    <s v="Premium Truffle"/>
    <s v="CrunchyJoy"/>
    <n v="485"/>
    <n v="257"/>
    <n v="124645"/>
    <x v="3"/>
  </r>
  <r>
    <s v="ORD1591"/>
    <x v="591"/>
    <s v="USA"/>
    <s v="Houston"/>
    <s v="Customer_150"/>
    <x v="0"/>
    <s v="Nutty Delight"/>
    <s v="CrunchyJoy"/>
    <n v="61"/>
    <n v="383"/>
    <n v="23363"/>
    <x v="3"/>
  </r>
  <r>
    <s v="ORD1592"/>
    <x v="592"/>
    <s v="USA"/>
    <s v="New York"/>
    <s v="Customer_435"/>
    <x v="6"/>
    <s v="Premium Truffle"/>
    <s v="SweetNuts"/>
    <n v="120"/>
    <n v="462"/>
    <n v="55440"/>
    <x v="3"/>
  </r>
  <r>
    <s v="ORD1593"/>
    <x v="593"/>
    <s v="Canada"/>
    <s v="Calgary"/>
    <s v="Customer_124"/>
    <x v="3"/>
    <s v="Premium Truffle"/>
    <s v="TruffleBite"/>
    <n v="446"/>
    <n v="203"/>
    <n v="90538"/>
    <x v="2"/>
  </r>
  <r>
    <s v="ORD1594"/>
    <x v="594"/>
    <s v="Australia"/>
    <s v="Sydney"/>
    <s v="Customer_247"/>
    <x v="3"/>
    <s v="Dark Chocolate"/>
    <s v="Silk"/>
    <n v="374"/>
    <n v="84"/>
    <n v="31416"/>
    <x v="0"/>
  </r>
  <r>
    <s v="ORD1595"/>
    <x v="595"/>
    <s v="Germany"/>
    <s v="Munich"/>
    <s v="Customer_477"/>
    <x v="6"/>
    <s v="White Chocolate"/>
    <s v="CocoaTreat"/>
    <n v="351"/>
    <n v="128"/>
    <n v="44928"/>
    <x v="2"/>
  </r>
  <r>
    <s v="ORD1596"/>
    <x v="596"/>
    <s v="USA"/>
    <s v="New York"/>
    <s v="Customer_489"/>
    <x v="1"/>
    <s v="Nutty Delight"/>
    <s v="MilkyBar"/>
    <n v="52"/>
    <n v="116"/>
    <n v="6032"/>
    <x v="2"/>
  </r>
  <r>
    <s v="ORD1597"/>
    <x v="597"/>
    <s v="Germany"/>
    <s v="Berlin"/>
    <s v="Customer_393"/>
    <x v="0"/>
    <s v="Dark Chocolate"/>
    <s v="CocoaTreat"/>
    <n v="220"/>
    <n v="392"/>
    <n v="86240"/>
    <x v="1"/>
  </r>
  <r>
    <s v="ORD1598"/>
    <x v="598"/>
    <s v="UAE"/>
    <s v="Abu Dhabi"/>
    <s v="Customer_174"/>
    <x v="2"/>
    <s v="Premium Truffle"/>
    <s v="DarkMagic"/>
    <n v="465"/>
    <n v="462"/>
    <n v="214830"/>
    <x v="2"/>
  </r>
  <r>
    <s v="ORD1599"/>
    <x v="599"/>
    <s v="USA"/>
    <s v="New York"/>
    <s v="Customer_710"/>
    <x v="1"/>
    <s v="Dark Chocolate"/>
    <s v="DarkMagic"/>
    <n v="209"/>
    <n v="83"/>
    <n v="17347"/>
    <x v="3"/>
  </r>
  <r>
    <s v="ORD1600"/>
    <x v="600"/>
    <s v="USA"/>
    <s v="San Francisco"/>
    <s v="Customer_296"/>
    <x v="4"/>
    <s v="White Chocolate"/>
    <s v="Silk"/>
    <n v="307"/>
    <n v="146"/>
    <n v="44822"/>
    <x v="3"/>
  </r>
  <r>
    <s v="ORD1601"/>
    <x v="601"/>
    <s v="UK"/>
    <s v="Manchester"/>
    <s v="Customer_362"/>
    <x v="6"/>
    <s v="Nutty Delight"/>
    <s v="Silk"/>
    <n v="355"/>
    <n v="218"/>
    <n v="77390"/>
    <x v="1"/>
  </r>
  <r>
    <s v="ORD1602"/>
    <x v="602"/>
    <s v="USA"/>
    <s v="Houston"/>
    <s v="Customer_407"/>
    <x v="2"/>
    <s v="White Chocolate"/>
    <s v="DarkMagic"/>
    <n v="249"/>
    <n v="218"/>
    <n v="54282"/>
    <x v="1"/>
  </r>
  <r>
    <s v="ORD1603"/>
    <x v="603"/>
    <s v="India"/>
    <s v="Delhi"/>
    <s v="Customer_132"/>
    <x v="3"/>
    <s v="Milk Chocolate"/>
    <s v="MilkyBar"/>
    <n v="124"/>
    <n v="200"/>
    <n v="24800"/>
    <x v="1"/>
  </r>
  <r>
    <s v="ORD1604"/>
    <x v="604"/>
    <s v="Australia"/>
    <s v="Brisbane"/>
    <s v="Customer_317"/>
    <x v="5"/>
    <s v="Nutty Delight"/>
    <s v="TruffleBite"/>
    <n v="35"/>
    <n v="120"/>
    <n v="4200"/>
    <x v="1"/>
  </r>
  <r>
    <s v="ORD1605"/>
    <x v="605"/>
    <s v="Australia"/>
    <s v="Brisbane"/>
    <s v="Customer_160"/>
    <x v="7"/>
    <s v="White Chocolate"/>
    <s v="DarkMagic"/>
    <n v="416"/>
    <n v="52"/>
    <n v="21632"/>
    <x v="1"/>
  </r>
  <r>
    <s v="ORD1606"/>
    <x v="606"/>
    <s v="Germany"/>
    <s v="Munich"/>
    <s v="Customer_182"/>
    <x v="3"/>
    <s v="Premium Truffle"/>
    <s v="Silk"/>
    <n v="308"/>
    <n v="363"/>
    <n v="111804"/>
    <x v="2"/>
  </r>
  <r>
    <s v="ORD1607"/>
    <x v="607"/>
    <s v="UAE"/>
    <s v="Abu Dhabi"/>
    <s v="Customer_818"/>
    <x v="0"/>
    <s v="Nutty Delight"/>
    <s v="SweetNuts"/>
    <n v="86"/>
    <n v="81"/>
    <n v="6966"/>
    <x v="1"/>
  </r>
  <r>
    <s v="ORD1608"/>
    <x v="608"/>
    <s v="USA"/>
    <s v="Chicago"/>
    <s v="Customer_818"/>
    <x v="8"/>
    <s v="Nutty Delight"/>
    <s v="ChocoLuxe"/>
    <n v="421"/>
    <n v="336"/>
    <n v="141456"/>
    <x v="2"/>
  </r>
  <r>
    <s v="ORD1609"/>
    <x v="609"/>
    <s v="India"/>
    <s v="Chennai"/>
    <s v="Customer_869"/>
    <x v="5"/>
    <s v="Dark Chocolate"/>
    <s v="MilkyBar"/>
    <n v="146"/>
    <n v="131"/>
    <n v="19126"/>
    <x v="0"/>
  </r>
  <r>
    <s v="ORD1610"/>
    <x v="610"/>
    <s v="Germany"/>
    <s v="Berlin"/>
    <s v="Customer_318"/>
    <x v="7"/>
    <s v="Premium Truffle"/>
    <s v="CrunchyJoy"/>
    <n v="29"/>
    <n v="92"/>
    <n v="2668"/>
    <x v="1"/>
  </r>
  <r>
    <s v="ORD1611"/>
    <x v="611"/>
    <s v="UK"/>
    <s v="Manchester"/>
    <s v="Customer_964"/>
    <x v="7"/>
    <s v="Milk Chocolate"/>
    <s v="MilkyBar"/>
    <n v="449"/>
    <n v="440"/>
    <n v="197560"/>
    <x v="1"/>
  </r>
  <r>
    <s v="ORD1612"/>
    <x v="612"/>
    <s v="Germany"/>
    <s v="Hamburg"/>
    <s v="Customer_478"/>
    <x v="4"/>
    <s v="White Chocolate"/>
    <s v="SweetNuts"/>
    <n v="220"/>
    <n v="154"/>
    <n v="33880"/>
    <x v="2"/>
  </r>
  <r>
    <s v="ORD1613"/>
    <x v="613"/>
    <s v="Germany"/>
    <s v="Hamburg"/>
    <s v="Customer_213"/>
    <x v="4"/>
    <s v="Dark Chocolate"/>
    <s v="SweetNuts"/>
    <n v="249"/>
    <n v="50"/>
    <n v="12450"/>
    <x v="0"/>
  </r>
  <r>
    <s v="ORD1614"/>
    <x v="614"/>
    <s v="USA"/>
    <s v="Chicago"/>
    <s v="Customer_594"/>
    <x v="9"/>
    <s v="White Chocolate"/>
    <s v="CrunchyJoy"/>
    <n v="48"/>
    <n v="110"/>
    <n v="5280"/>
    <x v="2"/>
  </r>
  <r>
    <s v="ORD1615"/>
    <x v="615"/>
    <s v="UK"/>
    <s v="Birmingham"/>
    <s v="Customer_463"/>
    <x v="3"/>
    <s v="Milk Chocolate"/>
    <s v="CocoaTreat"/>
    <n v="444"/>
    <n v="319"/>
    <n v="141636"/>
    <x v="2"/>
  </r>
  <r>
    <s v="ORD1616"/>
    <x v="616"/>
    <s v="Germany"/>
    <s v="Frankfurt"/>
    <s v="Customer_442"/>
    <x v="3"/>
    <s v="Milk Chocolate"/>
    <s v="Silk"/>
    <n v="277"/>
    <n v="229"/>
    <n v="63433"/>
    <x v="1"/>
  </r>
  <r>
    <s v="ORD1617"/>
    <x v="617"/>
    <s v="India"/>
    <s v="Hyderabad"/>
    <s v="Customer_252"/>
    <x v="3"/>
    <s v="Nutty Delight"/>
    <s v="DarkMagic"/>
    <n v="216"/>
    <n v="273"/>
    <n v="58968"/>
    <x v="3"/>
  </r>
  <r>
    <s v="ORD1618"/>
    <x v="618"/>
    <s v="India"/>
    <s v="Chennai"/>
    <s v="Customer_245"/>
    <x v="9"/>
    <s v="Milk Chocolate"/>
    <s v="CocoaTreat"/>
    <n v="488"/>
    <n v="55"/>
    <n v="26840"/>
    <x v="3"/>
  </r>
  <r>
    <s v="ORD1619"/>
    <x v="619"/>
    <s v="Australia"/>
    <s v="Melbourne"/>
    <s v="Customer_873"/>
    <x v="1"/>
    <s v="White Chocolate"/>
    <s v="TruffleBite"/>
    <n v="448"/>
    <n v="152"/>
    <n v="68096"/>
    <x v="2"/>
  </r>
  <r>
    <s v="ORD1620"/>
    <x v="620"/>
    <s v="UK"/>
    <s v="London"/>
    <s v="Customer_378"/>
    <x v="7"/>
    <s v="Premium Truffle"/>
    <s v="MilkyBar"/>
    <n v="471"/>
    <n v="59"/>
    <n v="27789"/>
    <x v="1"/>
  </r>
  <r>
    <s v="ORD1621"/>
    <x v="621"/>
    <s v="UK"/>
    <s v="London"/>
    <s v="Customer_417"/>
    <x v="5"/>
    <s v="Premium Truffle"/>
    <s v="CrunchyJoy"/>
    <n v="276"/>
    <n v="120"/>
    <n v="33120"/>
    <x v="0"/>
  </r>
  <r>
    <s v="ORD1622"/>
    <x v="622"/>
    <s v="Australia"/>
    <s v="Melbourne"/>
    <s v="Customer_698"/>
    <x v="0"/>
    <s v="Nutty Delight"/>
    <s v="MilkyBar"/>
    <n v="163"/>
    <n v="139"/>
    <n v="22657"/>
    <x v="3"/>
  </r>
  <r>
    <s v="ORD1623"/>
    <x v="623"/>
    <s v="Germany"/>
    <s v="Berlin"/>
    <s v="Customer_100"/>
    <x v="7"/>
    <s v="White Chocolate"/>
    <s v="CocoaTreat"/>
    <n v="51"/>
    <n v="275"/>
    <n v="14025"/>
    <x v="0"/>
  </r>
  <r>
    <s v="ORD1624"/>
    <x v="624"/>
    <s v="UK"/>
    <s v="Liverpool"/>
    <s v="Customer_888"/>
    <x v="4"/>
    <s v="White Chocolate"/>
    <s v="SweetNuts"/>
    <n v="420"/>
    <n v="207"/>
    <n v="86940"/>
    <x v="3"/>
  </r>
  <r>
    <s v="ORD1625"/>
    <x v="625"/>
    <s v="India"/>
    <s v="Mumbai"/>
    <s v="Customer_946"/>
    <x v="2"/>
    <s v="Milk Chocolate"/>
    <s v="DarkMagic"/>
    <n v="20"/>
    <n v="277"/>
    <n v="5540"/>
    <x v="1"/>
  </r>
  <r>
    <s v="ORD1626"/>
    <x v="626"/>
    <s v="India"/>
    <s v="Hyderabad"/>
    <s v="Customer_782"/>
    <x v="8"/>
    <s v="White Chocolate"/>
    <s v="MilkyBar"/>
    <n v="303"/>
    <n v="454"/>
    <n v="137562"/>
    <x v="2"/>
  </r>
  <r>
    <s v="ORD1627"/>
    <x v="627"/>
    <s v="USA"/>
    <s v="New York"/>
    <s v="Customer_921"/>
    <x v="9"/>
    <s v="Dark Chocolate"/>
    <s v="TruffleBite"/>
    <n v="107"/>
    <n v="175"/>
    <n v="18725"/>
    <x v="0"/>
  </r>
  <r>
    <s v="ORD1628"/>
    <x v="628"/>
    <s v="UK"/>
    <s v="Manchester"/>
    <s v="Customer_749"/>
    <x v="6"/>
    <s v="Milk Chocolate"/>
    <s v="SweetNuts"/>
    <n v="436"/>
    <n v="493"/>
    <n v="214948"/>
    <x v="0"/>
  </r>
  <r>
    <s v="ORD1629"/>
    <x v="629"/>
    <s v="Germany"/>
    <s v="Munich"/>
    <s v="Customer_584"/>
    <x v="2"/>
    <s v="Dark Chocolate"/>
    <s v="TruffleBite"/>
    <n v="284"/>
    <n v="258"/>
    <n v="73272"/>
    <x v="2"/>
  </r>
  <r>
    <s v="ORD1630"/>
    <x v="630"/>
    <s v="Australia"/>
    <s v="Sydney"/>
    <s v="Customer_974"/>
    <x v="0"/>
    <s v="Nutty Delight"/>
    <s v="DarkMagic"/>
    <n v="457"/>
    <n v="146"/>
    <n v="66722"/>
    <x v="0"/>
  </r>
  <r>
    <s v="ORD1631"/>
    <x v="631"/>
    <s v="Australia"/>
    <s v="Brisbane"/>
    <s v="Customer_305"/>
    <x v="3"/>
    <s v="Premium Truffle"/>
    <s v="MilkyBar"/>
    <n v="399"/>
    <n v="123"/>
    <n v="49077"/>
    <x v="3"/>
  </r>
  <r>
    <s v="ORD1632"/>
    <x v="632"/>
    <s v="Germany"/>
    <s v="Frankfurt"/>
    <s v="Customer_953"/>
    <x v="4"/>
    <s v="Nutty Delight"/>
    <s v="ChocoLuxe"/>
    <n v="439"/>
    <n v="164"/>
    <n v="71996"/>
    <x v="2"/>
  </r>
  <r>
    <s v="ORD1633"/>
    <x v="633"/>
    <s v="UAE"/>
    <s v="Dubai"/>
    <s v="Customer_267"/>
    <x v="4"/>
    <s v="Premium Truffle"/>
    <s v="CocoaTreat"/>
    <n v="381"/>
    <n v="240"/>
    <n v="91440"/>
    <x v="3"/>
  </r>
  <r>
    <s v="ORD1634"/>
    <x v="634"/>
    <s v="Canada"/>
    <s v="Toronto"/>
    <s v="Customer_360"/>
    <x v="4"/>
    <s v="Nutty Delight"/>
    <s v="MilkyBar"/>
    <n v="239"/>
    <n v="219"/>
    <n v="52341"/>
    <x v="3"/>
  </r>
  <r>
    <s v="ORD1635"/>
    <x v="635"/>
    <s v="USA"/>
    <s v="New York"/>
    <s v="Customer_398"/>
    <x v="3"/>
    <s v="White Chocolate"/>
    <s v="CocoaTreat"/>
    <n v="378"/>
    <n v="356"/>
    <n v="134568"/>
    <x v="1"/>
  </r>
  <r>
    <s v="ORD1636"/>
    <x v="636"/>
    <s v="Australia"/>
    <s v="Brisbane"/>
    <s v="Customer_275"/>
    <x v="6"/>
    <s v="Dark Chocolate"/>
    <s v="DarkMagic"/>
    <n v="435"/>
    <n v="497"/>
    <n v="216195"/>
    <x v="3"/>
  </r>
  <r>
    <s v="ORD1637"/>
    <x v="637"/>
    <s v="UK"/>
    <s v="London"/>
    <s v="Customer_476"/>
    <x v="9"/>
    <s v="Premium Truffle"/>
    <s v="MilkyBar"/>
    <n v="229"/>
    <n v="253"/>
    <n v="57937"/>
    <x v="1"/>
  </r>
  <r>
    <s v="ORD1638"/>
    <x v="638"/>
    <s v="USA"/>
    <s v="Los Angeles"/>
    <s v="Customer_172"/>
    <x v="2"/>
    <s v="Milk Chocolate"/>
    <s v="CocoaTreat"/>
    <n v="74"/>
    <n v="105"/>
    <n v="7770"/>
    <x v="0"/>
  </r>
  <r>
    <s v="ORD1639"/>
    <x v="639"/>
    <s v="UK"/>
    <s v="Liverpool"/>
    <s v="Customer_641"/>
    <x v="3"/>
    <s v="Dark Chocolate"/>
    <s v="CrunchyJoy"/>
    <n v="364"/>
    <n v="257"/>
    <n v="93548"/>
    <x v="0"/>
  </r>
  <r>
    <s v="ORD1640"/>
    <x v="640"/>
    <s v="UAE"/>
    <s v="Abu Dhabi"/>
    <s v="Customer_316"/>
    <x v="0"/>
    <s v="Milk Chocolate"/>
    <s v="CocoaTreat"/>
    <n v="241"/>
    <n v="90"/>
    <n v="21690"/>
    <x v="1"/>
  </r>
  <r>
    <s v="ORD1641"/>
    <x v="641"/>
    <s v="India"/>
    <s v="Chennai"/>
    <s v="Customer_196"/>
    <x v="9"/>
    <s v="Dark Chocolate"/>
    <s v="MilkyBar"/>
    <n v="337"/>
    <n v="81"/>
    <n v="27297"/>
    <x v="3"/>
  </r>
  <r>
    <s v="ORD1642"/>
    <x v="642"/>
    <s v="USA"/>
    <s v="New York"/>
    <s v="Customer_280"/>
    <x v="0"/>
    <s v="Dark Chocolate"/>
    <s v="Silk"/>
    <n v="452"/>
    <n v="64"/>
    <n v="28928"/>
    <x v="2"/>
  </r>
  <r>
    <s v="ORD1643"/>
    <x v="643"/>
    <s v="Australia"/>
    <s v="Perth"/>
    <s v="Customer_784"/>
    <x v="9"/>
    <s v="Nutty Delight"/>
    <s v="MilkyBar"/>
    <n v="61"/>
    <n v="111"/>
    <n v="6771"/>
    <x v="2"/>
  </r>
  <r>
    <s v="ORD1644"/>
    <x v="644"/>
    <s v="USA"/>
    <s v="New York"/>
    <s v="Customer_651"/>
    <x v="6"/>
    <s v="Premium Truffle"/>
    <s v="MilkyBar"/>
    <n v="383"/>
    <n v="204"/>
    <n v="78132"/>
    <x v="1"/>
  </r>
  <r>
    <s v="ORD1645"/>
    <x v="645"/>
    <s v="USA"/>
    <s v="San Francisco"/>
    <s v="Customer_637"/>
    <x v="8"/>
    <s v="Premium Truffle"/>
    <s v="CocoaTreat"/>
    <n v="440"/>
    <n v="333"/>
    <n v="146520"/>
    <x v="0"/>
  </r>
  <r>
    <s v="ORD1646"/>
    <x v="646"/>
    <s v="USA"/>
    <s v="New York"/>
    <s v="Customer_891"/>
    <x v="0"/>
    <s v="Dark Chocolate"/>
    <s v="TruffleBite"/>
    <n v="385"/>
    <n v="258"/>
    <n v="99330"/>
    <x v="0"/>
  </r>
  <r>
    <s v="ORD1647"/>
    <x v="647"/>
    <s v="Canada"/>
    <s v="Montreal"/>
    <s v="Customer_813"/>
    <x v="3"/>
    <s v="White Chocolate"/>
    <s v="ChocoLuxe"/>
    <n v="272"/>
    <n v="369"/>
    <n v="100368"/>
    <x v="2"/>
  </r>
  <r>
    <s v="ORD1648"/>
    <x v="648"/>
    <s v="USA"/>
    <s v="New York"/>
    <s v="Customer_401"/>
    <x v="9"/>
    <s v="White Chocolate"/>
    <s v="TruffleBite"/>
    <n v="276"/>
    <n v="236"/>
    <n v="65136"/>
    <x v="1"/>
  </r>
  <r>
    <s v="ORD1649"/>
    <x v="649"/>
    <s v="UK"/>
    <s v="London"/>
    <s v="Customer_391"/>
    <x v="4"/>
    <s v="Milk Chocolate"/>
    <s v="CocoaTreat"/>
    <n v="368"/>
    <n v="491"/>
    <n v="180688"/>
    <x v="2"/>
  </r>
  <r>
    <s v="ORD1650"/>
    <x v="650"/>
    <s v="India"/>
    <s v="Hyderabad"/>
    <s v="Customer_304"/>
    <x v="7"/>
    <s v="Milk Chocolate"/>
    <s v="TruffleBite"/>
    <n v="326"/>
    <n v="179"/>
    <n v="58354"/>
    <x v="3"/>
  </r>
  <r>
    <s v="ORD1651"/>
    <x v="651"/>
    <s v="UAE"/>
    <s v="Sharjah"/>
    <s v="Customer_103"/>
    <x v="4"/>
    <s v="Nutty Delight"/>
    <s v="SweetNuts"/>
    <n v="333"/>
    <n v="176"/>
    <n v="58608"/>
    <x v="3"/>
  </r>
  <r>
    <s v="ORD1652"/>
    <x v="652"/>
    <s v="Germany"/>
    <s v="Munich"/>
    <s v="Customer_942"/>
    <x v="1"/>
    <s v="Dark Chocolate"/>
    <s v="Silk"/>
    <n v="418"/>
    <n v="341"/>
    <n v="142538"/>
    <x v="1"/>
  </r>
  <r>
    <s v="ORD1653"/>
    <x v="653"/>
    <s v="USA"/>
    <s v="San Francisco"/>
    <s v="Customer_128"/>
    <x v="8"/>
    <s v="Milk Chocolate"/>
    <s v="TruffleBite"/>
    <n v="405"/>
    <n v="163"/>
    <n v="66015"/>
    <x v="1"/>
  </r>
  <r>
    <s v="ORD1654"/>
    <x v="654"/>
    <s v="Australia"/>
    <s v="Sydney"/>
    <s v="Customer_636"/>
    <x v="8"/>
    <s v="Milk Chocolate"/>
    <s v="CrunchyJoy"/>
    <n v="163"/>
    <n v="248"/>
    <n v="40424"/>
    <x v="3"/>
  </r>
  <r>
    <s v="ORD1655"/>
    <x v="655"/>
    <s v="USA"/>
    <s v="San Francisco"/>
    <s v="Customer_615"/>
    <x v="4"/>
    <s v="Dark Chocolate"/>
    <s v="DarkMagic"/>
    <n v="367"/>
    <n v="62"/>
    <n v="22754"/>
    <x v="0"/>
  </r>
  <r>
    <s v="ORD1656"/>
    <x v="656"/>
    <s v="Australia"/>
    <s v="Brisbane"/>
    <s v="Customer_202"/>
    <x v="2"/>
    <s v="Nutty Delight"/>
    <s v="CrunchyJoy"/>
    <n v="375"/>
    <n v="320"/>
    <n v="120000"/>
    <x v="1"/>
  </r>
  <r>
    <s v="ORD1657"/>
    <x v="657"/>
    <s v="UK"/>
    <s v="Liverpool"/>
    <s v="Customer_129"/>
    <x v="6"/>
    <s v="Milk Chocolate"/>
    <s v="DarkMagic"/>
    <n v="149"/>
    <n v="138"/>
    <n v="20562"/>
    <x v="3"/>
  </r>
  <r>
    <s v="ORD1658"/>
    <x v="658"/>
    <s v="Australia"/>
    <s v="Melbourne"/>
    <s v="Customer_540"/>
    <x v="0"/>
    <s v="Nutty Delight"/>
    <s v="MilkyBar"/>
    <n v="436"/>
    <n v="264"/>
    <n v="115104"/>
    <x v="3"/>
  </r>
  <r>
    <s v="ORD1659"/>
    <x v="659"/>
    <s v="Germany"/>
    <s v="Frankfurt"/>
    <s v="Customer_622"/>
    <x v="3"/>
    <s v="Premium Truffle"/>
    <s v="SweetNuts"/>
    <n v="60"/>
    <n v="493"/>
    <n v="29580"/>
    <x v="0"/>
  </r>
  <r>
    <s v="ORD1660"/>
    <x v="660"/>
    <s v="India"/>
    <s v="Bangalore"/>
    <s v="Customer_285"/>
    <x v="8"/>
    <s v="Nutty Delight"/>
    <s v="Silk"/>
    <n v="126"/>
    <n v="327"/>
    <n v="41202"/>
    <x v="0"/>
  </r>
  <r>
    <s v="ORD1661"/>
    <x v="661"/>
    <s v="Australia"/>
    <s v="Melbourne"/>
    <s v="Customer_835"/>
    <x v="4"/>
    <s v="White Chocolate"/>
    <s v="CrunchyJoy"/>
    <n v="430"/>
    <n v="496"/>
    <n v="213280"/>
    <x v="0"/>
  </r>
  <r>
    <s v="ORD1662"/>
    <x v="662"/>
    <s v="Australia"/>
    <s v="Sydney"/>
    <s v="Customer_886"/>
    <x v="4"/>
    <s v="White Chocolate"/>
    <s v="Silk"/>
    <n v="55"/>
    <n v="252"/>
    <n v="13860"/>
    <x v="0"/>
  </r>
  <r>
    <s v="ORD1663"/>
    <x v="663"/>
    <s v="India"/>
    <s v="Delhi"/>
    <s v="Customer_576"/>
    <x v="6"/>
    <s v="Nutty Delight"/>
    <s v="CrunchyJoy"/>
    <n v="318"/>
    <n v="123"/>
    <n v="39114"/>
    <x v="2"/>
  </r>
  <r>
    <s v="ORD1664"/>
    <x v="664"/>
    <s v="Germany"/>
    <s v="Berlin"/>
    <s v="Customer_981"/>
    <x v="6"/>
    <s v="White Chocolate"/>
    <s v="MilkyBar"/>
    <n v="97"/>
    <n v="74"/>
    <n v="7178"/>
    <x v="0"/>
  </r>
  <r>
    <s v="ORD1665"/>
    <x v="665"/>
    <s v="USA"/>
    <s v="Houston"/>
    <s v="Customer_717"/>
    <x v="5"/>
    <s v="Premium Truffle"/>
    <s v="DarkMagic"/>
    <n v="217"/>
    <n v="150"/>
    <n v="32550"/>
    <x v="2"/>
  </r>
  <r>
    <s v="ORD1666"/>
    <x v="666"/>
    <s v="Australia"/>
    <s v="Perth"/>
    <s v="Customer_390"/>
    <x v="5"/>
    <s v="Dark Chocolate"/>
    <s v="ChocoLuxe"/>
    <n v="386"/>
    <n v="225"/>
    <n v="86850"/>
    <x v="1"/>
  </r>
  <r>
    <s v="ORD1667"/>
    <x v="667"/>
    <s v="India"/>
    <s v="Bangalore"/>
    <s v="Customer_260"/>
    <x v="2"/>
    <s v="White Chocolate"/>
    <s v="SweetNuts"/>
    <n v="278"/>
    <n v="476"/>
    <n v="132328"/>
    <x v="3"/>
  </r>
  <r>
    <s v="ORD1668"/>
    <x v="668"/>
    <s v="UK"/>
    <s v="Liverpool"/>
    <s v="Customer_314"/>
    <x v="2"/>
    <s v="White Chocolate"/>
    <s v="CrunchyJoy"/>
    <n v="98"/>
    <n v="166"/>
    <n v="16268"/>
    <x v="2"/>
  </r>
  <r>
    <s v="ORD1669"/>
    <x v="669"/>
    <s v="India"/>
    <s v="Hyderabad"/>
    <s v="Customer_278"/>
    <x v="1"/>
    <s v="Nutty Delight"/>
    <s v="CrunchyJoy"/>
    <n v="390"/>
    <n v="215"/>
    <n v="83850"/>
    <x v="1"/>
  </r>
  <r>
    <s v="ORD1670"/>
    <x v="670"/>
    <s v="UK"/>
    <s v="London"/>
    <s v="Customer_950"/>
    <x v="2"/>
    <s v="Premium Truffle"/>
    <s v="MilkyBar"/>
    <n v="127"/>
    <n v="90"/>
    <n v="11430"/>
    <x v="1"/>
  </r>
  <r>
    <s v="ORD1671"/>
    <x v="671"/>
    <s v="Germany"/>
    <s v="Frankfurt"/>
    <s v="Customer_427"/>
    <x v="9"/>
    <s v="Dark Chocolate"/>
    <s v="SweetNuts"/>
    <n v="63"/>
    <n v="478"/>
    <n v="30114"/>
    <x v="2"/>
  </r>
  <r>
    <s v="ORD1672"/>
    <x v="672"/>
    <s v="USA"/>
    <s v="San Francisco"/>
    <s v="Customer_731"/>
    <x v="6"/>
    <s v="Nutty Delight"/>
    <s v="DarkMagic"/>
    <n v="450"/>
    <n v="393"/>
    <n v="176850"/>
    <x v="1"/>
  </r>
  <r>
    <s v="ORD1673"/>
    <x v="673"/>
    <s v="India"/>
    <s v="Bangalore"/>
    <s v="Customer_594"/>
    <x v="3"/>
    <s v="Nutty Delight"/>
    <s v="DarkMagic"/>
    <n v="125"/>
    <n v="473"/>
    <n v="59125"/>
    <x v="1"/>
  </r>
  <r>
    <s v="ORD1674"/>
    <x v="674"/>
    <s v="UAE"/>
    <s v="Dubai"/>
    <s v="Customer_177"/>
    <x v="9"/>
    <s v="Premium Truffle"/>
    <s v="CrunchyJoy"/>
    <n v="127"/>
    <n v="415"/>
    <n v="52705"/>
    <x v="2"/>
  </r>
  <r>
    <s v="ORD1675"/>
    <x v="675"/>
    <s v="UAE"/>
    <s v="Abu Dhabi"/>
    <s v="Customer_981"/>
    <x v="0"/>
    <s v="Dark Chocolate"/>
    <s v="ChocoLuxe"/>
    <n v="269"/>
    <n v="169"/>
    <n v="45461"/>
    <x v="1"/>
  </r>
  <r>
    <s v="ORD1676"/>
    <x v="676"/>
    <s v="Canada"/>
    <s v="Vancouver"/>
    <s v="Customer_277"/>
    <x v="4"/>
    <s v="Premium Truffle"/>
    <s v="ChocoLuxe"/>
    <n v="84"/>
    <n v="146"/>
    <n v="12264"/>
    <x v="0"/>
  </r>
  <r>
    <s v="ORD1677"/>
    <x v="677"/>
    <s v="Australia"/>
    <s v="Brisbane"/>
    <s v="Customer_649"/>
    <x v="2"/>
    <s v="Dark Chocolate"/>
    <s v="Silk"/>
    <n v="489"/>
    <n v="194"/>
    <n v="94866"/>
    <x v="0"/>
  </r>
  <r>
    <s v="ORD1678"/>
    <x v="678"/>
    <s v="Germany"/>
    <s v="Munich"/>
    <s v="Customer_870"/>
    <x v="4"/>
    <s v="Premium Truffle"/>
    <s v="SweetNuts"/>
    <n v="314"/>
    <n v="265"/>
    <n v="83210"/>
    <x v="3"/>
  </r>
  <r>
    <s v="ORD1679"/>
    <x v="679"/>
    <s v="India"/>
    <s v="Mumbai"/>
    <s v="Customer_246"/>
    <x v="8"/>
    <s v="Nutty Delight"/>
    <s v="SweetNuts"/>
    <n v="16"/>
    <n v="278"/>
    <n v="4448"/>
    <x v="1"/>
  </r>
  <r>
    <s v="ORD1680"/>
    <x v="680"/>
    <s v="UAE"/>
    <s v="Abu Dhabi"/>
    <s v="Customer_767"/>
    <x v="1"/>
    <s v="Nutty Delight"/>
    <s v="DarkMagic"/>
    <n v="375"/>
    <n v="362"/>
    <n v="135750"/>
    <x v="3"/>
  </r>
  <r>
    <s v="ORD1681"/>
    <x v="681"/>
    <s v="Australia"/>
    <s v="Sydney"/>
    <s v="Customer_997"/>
    <x v="8"/>
    <s v="Milk Chocolate"/>
    <s v="Silk"/>
    <n v="131"/>
    <n v="179"/>
    <n v="23449"/>
    <x v="0"/>
  </r>
  <r>
    <s v="ORD1682"/>
    <x v="682"/>
    <s v="UAE"/>
    <s v="Dubai"/>
    <s v="Customer_719"/>
    <x v="1"/>
    <s v="White Chocolate"/>
    <s v="MilkyBar"/>
    <n v="20"/>
    <n v="401"/>
    <n v="8020"/>
    <x v="0"/>
  </r>
  <r>
    <s v="ORD1683"/>
    <x v="683"/>
    <s v="India"/>
    <s v="Delhi"/>
    <s v="Customer_793"/>
    <x v="5"/>
    <s v="Premium Truffle"/>
    <s v="SweetNuts"/>
    <n v="357"/>
    <n v="426"/>
    <n v="152082"/>
    <x v="0"/>
  </r>
  <r>
    <s v="ORD1684"/>
    <x v="684"/>
    <s v="UK"/>
    <s v="Birmingham"/>
    <s v="Customer_875"/>
    <x v="4"/>
    <s v="Milk Chocolate"/>
    <s v="Silk"/>
    <n v="447"/>
    <n v="367"/>
    <n v="164049"/>
    <x v="1"/>
  </r>
  <r>
    <s v="ORD1685"/>
    <x v="685"/>
    <s v="India"/>
    <s v="Chennai"/>
    <s v="Customer_152"/>
    <x v="1"/>
    <s v="White Chocolate"/>
    <s v="Silk"/>
    <n v="498"/>
    <n v="186"/>
    <n v="92628"/>
    <x v="1"/>
  </r>
  <r>
    <s v="ORD1686"/>
    <x v="686"/>
    <s v="Canada"/>
    <s v="Toronto"/>
    <s v="Customer_539"/>
    <x v="7"/>
    <s v="Premium Truffle"/>
    <s v="CrunchyJoy"/>
    <n v="224"/>
    <n v="373"/>
    <n v="83552"/>
    <x v="0"/>
  </r>
  <r>
    <s v="ORD1687"/>
    <x v="687"/>
    <s v="India"/>
    <s v="Mumbai"/>
    <s v="Customer_230"/>
    <x v="9"/>
    <s v="Dark Chocolate"/>
    <s v="DarkMagic"/>
    <n v="438"/>
    <n v="386"/>
    <n v="169068"/>
    <x v="3"/>
  </r>
  <r>
    <s v="ORD1688"/>
    <x v="688"/>
    <s v="India"/>
    <s v="Mumbai"/>
    <s v="Customer_624"/>
    <x v="1"/>
    <s v="White Chocolate"/>
    <s v="Silk"/>
    <n v="288"/>
    <n v="322"/>
    <n v="92736"/>
    <x v="3"/>
  </r>
  <r>
    <s v="ORD1689"/>
    <x v="689"/>
    <s v="Canada"/>
    <s v="Montreal"/>
    <s v="Customer_869"/>
    <x v="1"/>
    <s v="Nutty Delight"/>
    <s v="CocoaTreat"/>
    <n v="37"/>
    <n v="166"/>
    <n v="6142"/>
    <x v="2"/>
  </r>
  <r>
    <s v="ORD1690"/>
    <x v="690"/>
    <s v="Germany"/>
    <s v="Hamburg"/>
    <s v="Customer_249"/>
    <x v="9"/>
    <s v="Milk Chocolate"/>
    <s v="ChocoLuxe"/>
    <n v="244"/>
    <n v="355"/>
    <n v="86620"/>
    <x v="0"/>
  </r>
  <r>
    <s v="ORD1691"/>
    <x v="691"/>
    <s v="India"/>
    <s v="Delhi"/>
    <s v="Customer_259"/>
    <x v="4"/>
    <s v="White Chocolate"/>
    <s v="CocoaTreat"/>
    <n v="376"/>
    <n v="417"/>
    <n v="156792"/>
    <x v="3"/>
  </r>
  <r>
    <s v="ORD1692"/>
    <x v="692"/>
    <s v="Canada"/>
    <s v="Toronto"/>
    <s v="Customer_155"/>
    <x v="4"/>
    <s v="White Chocolate"/>
    <s v="ChocoLuxe"/>
    <n v="322"/>
    <n v="143"/>
    <n v="46046"/>
    <x v="0"/>
  </r>
  <r>
    <s v="ORD1693"/>
    <x v="693"/>
    <s v="Australia"/>
    <s v="Sydney"/>
    <s v="Customer_453"/>
    <x v="9"/>
    <s v="Nutty Delight"/>
    <s v="TruffleBite"/>
    <n v="35"/>
    <n v="217"/>
    <n v="7595"/>
    <x v="3"/>
  </r>
  <r>
    <s v="ORD1694"/>
    <x v="694"/>
    <s v="UK"/>
    <s v="Birmingham"/>
    <s v="Customer_427"/>
    <x v="8"/>
    <s v="Premium Truffle"/>
    <s v="DarkMagic"/>
    <n v="418"/>
    <n v="491"/>
    <n v="205238"/>
    <x v="2"/>
  </r>
  <r>
    <s v="ORD1695"/>
    <x v="695"/>
    <s v="UK"/>
    <s v="Manchester"/>
    <s v="Customer_114"/>
    <x v="7"/>
    <s v="Dark Chocolate"/>
    <s v="CrunchyJoy"/>
    <n v="63"/>
    <n v="252"/>
    <n v="15876"/>
    <x v="2"/>
  </r>
  <r>
    <s v="ORD1696"/>
    <x v="696"/>
    <s v="India"/>
    <s v="Bangalore"/>
    <s v="Customer_896"/>
    <x v="3"/>
    <s v="Nutty Delight"/>
    <s v="MilkyBar"/>
    <n v="38"/>
    <n v="390"/>
    <n v="14820"/>
    <x v="0"/>
  </r>
  <r>
    <s v="ORD1697"/>
    <x v="697"/>
    <s v="Germany"/>
    <s v="Munich"/>
    <s v="Customer_327"/>
    <x v="0"/>
    <s v="Dark Chocolate"/>
    <s v="CocoaTreat"/>
    <n v="476"/>
    <n v="198"/>
    <n v="94248"/>
    <x v="3"/>
  </r>
  <r>
    <s v="ORD1698"/>
    <x v="698"/>
    <s v="Germany"/>
    <s v="Munich"/>
    <s v="Customer_802"/>
    <x v="7"/>
    <s v="Premium Truffle"/>
    <s v="CocoaTreat"/>
    <n v="362"/>
    <n v="451"/>
    <n v="163262"/>
    <x v="1"/>
  </r>
  <r>
    <s v="ORD1699"/>
    <x v="699"/>
    <s v="Australia"/>
    <s v="Melbourne"/>
    <s v="Customer_909"/>
    <x v="4"/>
    <s v="White Chocolate"/>
    <s v="TruffleBite"/>
    <n v="173"/>
    <n v="232"/>
    <n v="40136"/>
    <x v="2"/>
  </r>
  <r>
    <s v="ORD1700"/>
    <x v="700"/>
    <s v="India"/>
    <s v="Mumbai"/>
    <s v="Customer_414"/>
    <x v="3"/>
    <s v="Dark Chocolate"/>
    <s v="ChocoLuxe"/>
    <n v="279"/>
    <n v="462"/>
    <n v="128898"/>
    <x v="0"/>
  </r>
  <r>
    <s v="ORD1701"/>
    <x v="701"/>
    <s v="UK"/>
    <s v="Liverpool"/>
    <s v="Customer_253"/>
    <x v="5"/>
    <s v="Milk Chocolate"/>
    <s v="CrunchyJoy"/>
    <n v="343"/>
    <n v="201"/>
    <n v="68943"/>
    <x v="0"/>
  </r>
  <r>
    <s v="ORD1702"/>
    <x v="702"/>
    <s v="Germany"/>
    <s v="Frankfurt"/>
    <s v="Customer_659"/>
    <x v="2"/>
    <s v="Milk Chocolate"/>
    <s v="TruffleBite"/>
    <n v="44"/>
    <n v="123"/>
    <n v="5412"/>
    <x v="3"/>
  </r>
  <r>
    <s v="ORD1703"/>
    <x v="703"/>
    <s v="India"/>
    <s v="Bangalore"/>
    <s v="Customer_107"/>
    <x v="1"/>
    <s v="Nutty Delight"/>
    <s v="DarkMagic"/>
    <n v="295"/>
    <n v="414"/>
    <n v="122130"/>
    <x v="0"/>
  </r>
  <r>
    <s v="ORD1704"/>
    <x v="704"/>
    <s v="UAE"/>
    <s v="Abu Dhabi"/>
    <s v="Customer_209"/>
    <x v="9"/>
    <s v="Premium Truffle"/>
    <s v="CrunchyJoy"/>
    <n v="357"/>
    <n v="450"/>
    <n v="160650"/>
    <x v="2"/>
  </r>
  <r>
    <s v="ORD1705"/>
    <x v="705"/>
    <s v="Germany"/>
    <s v="Berlin"/>
    <s v="Customer_412"/>
    <x v="9"/>
    <s v="Nutty Delight"/>
    <s v="DarkMagic"/>
    <n v="282"/>
    <n v="323"/>
    <n v="91086"/>
    <x v="0"/>
  </r>
  <r>
    <s v="ORD1706"/>
    <x v="706"/>
    <s v="Canada"/>
    <s v="Calgary"/>
    <s v="Customer_159"/>
    <x v="1"/>
    <s v="Nutty Delight"/>
    <s v="Silk"/>
    <n v="460"/>
    <n v="91"/>
    <n v="41860"/>
    <x v="0"/>
  </r>
  <r>
    <s v="ORD1707"/>
    <x v="707"/>
    <s v="UAE"/>
    <s v="Dubai"/>
    <s v="Customer_846"/>
    <x v="2"/>
    <s v="Nutty Delight"/>
    <s v="SweetNuts"/>
    <n v="217"/>
    <n v="261"/>
    <n v="56637"/>
    <x v="1"/>
  </r>
  <r>
    <s v="ORD1708"/>
    <x v="708"/>
    <s v="Germany"/>
    <s v="Frankfurt"/>
    <s v="Customer_649"/>
    <x v="0"/>
    <s v="Milk Chocolate"/>
    <s v="Silk"/>
    <n v="247"/>
    <n v="150"/>
    <n v="37050"/>
    <x v="1"/>
  </r>
  <r>
    <s v="ORD1709"/>
    <x v="709"/>
    <s v="UK"/>
    <s v="London"/>
    <s v="Customer_345"/>
    <x v="2"/>
    <s v="Milk Chocolate"/>
    <s v="DarkMagic"/>
    <n v="423"/>
    <n v="94"/>
    <n v="39762"/>
    <x v="2"/>
  </r>
  <r>
    <s v="ORD1710"/>
    <x v="710"/>
    <s v="USA"/>
    <s v="New York"/>
    <s v="Customer_273"/>
    <x v="3"/>
    <s v="Nutty Delight"/>
    <s v="CocoaTreat"/>
    <n v="102"/>
    <n v="131"/>
    <n v="13362"/>
    <x v="3"/>
  </r>
  <r>
    <s v="ORD1711"/>
    <x v="711"/>
    <s v="UAE"/>
    <s v="Abu Dhabi"/>
    <s v="Customer_837"/>
    <x v="2"/>
    <s v="Milk Chocolate"/>
    <s v="CrunchyJoy"/>
    <n v="182"/>
    <n v="66"/>
    <n v="12012"/>
    <x v="1"/>
  </r>
  <r>
    <s v="ORD1712"/>
    <x v="712"/>
    <s v="Australia"/>
    <s v="Sydney"/>
    <s v="Customer_395"/>
    <x v="3"/>
    <s v="Premium Truffle"/>
    <s v="ChocoLuxe"/>
    <n v="88"/>
    <n v="122"/>
    <n v="10736"/>
    <x v="3"/>
  </r>
  <r>
    <s v="ORD1713"/>
    <x v="713"/>
    <s v="Australia"/>
    <s v="Melbourne"/>
    <s v="Customer_468"/>
    <x v="2"/>
    <s v="Nutty Delight"/>
    <s v="MilkyBar"/>
    <n v="119"/>
    <n v="63"/>
    <n v="7497"/>
    <x v="2"/>
  </r>
  <r>
    <s v="ORD1714"/>
    <x v="714"/>
    <s v="UK"/>
    <s v="Birmingham"/>
    <s v="Customer_494"/>
    <x v="0"/>
    <s v="Milk Chocolate"/>
    <s v="ChocoLuxe"/>
    <n v="226"/>
    <n v="482"/>
    <n v="108932"/>
    <x v="1"/>
  </r>
  <r>
    <s v="ORD1715"/>
    <x v="715"/>
    <s v="Germany"/>
    <s v="Berlin"/>
    <s v="Customer_736"/>
    <x v="0"/>
    <s v="Dark Chocolate"/>
    <s v="CrunchyJoy"/>
    <n v="444"/>
    <n v="206"/>
    <n v="91464"/>
    <x v="3"/>
  </r>
  <r>
    <s v="ORD1716"/>
    <x v="716"/>
    <s v="India"/>
    <s v="Bangalore"/>
    <s v="Customer_712"/>
    <x v="4"/>
    <s v="Nutty Delight"/>
    <s v="Silk"/>
    <n v="367"/>
    <n v="272"/>
    <n v="99824"/>
    <x v="1"/>
  </r>
  <r>
    <s v="ORD1717"/>
    <x v="717"/>
    <s v="Germany"/>
    <s v="Frankfurt"/>
    <s v="Customer_611"/>
    <x v="1"/>
    <s v="Nutty Delight"/>
    <s v="MilkyBar"/>
    <n v="115"/>
    <n v="181"/>
    <n v="20815"/>
    <x v="2"/>
  </r>
  <r>
    <s v="ORD1718"/>
    <x v="718"/>
    <s v="UK"/>
    <s v="Liverpool"/>
    <s v="Customer_834"/>
    <x v="0"/>
    <s v="Premium Truffle"/>
    <s v="CrunchyJoy"/>
    <n v="56"/>
    <n v="387"/>
    <n v="21672"/>
    <x v="2"/>
  </r>
  <r>
    <s v="ORD1719"/>
    <x v="719"/>
    <s v="Australia"/>
    <s v="Sydney"/>
    <s v="Customer_402"/>
    <x v="3"/>
    <s v="White Chocolate"/>
    <s v="DarkMagic"/>
    <n v="190"/>
    <n v="453"/>
    <n v="86070"/>
    <x v="1"/>
  </r>
  <r>
    <s v="ORD1720"/>
    <x v="720"/>
    <s v="Germany"/>
    <s v="Berlin"/>
    <s v="Customer_956"/>
    <x v="0"/>
    <s v="White Chocolate"/>
    <s v="CocoaTreat"/>
    <n v="73"/>
    <n v="425"/>
    <n v="31025"/>
    <x v="3"/>
  </r>
  <r>
    <s v="ORD1721"/>
    <x v="721"/>
    <s v="Australia"/>
    <s v="Brisbane"/>
    <s v="Customer_245"/>
    <x v="4"/>
    <s v="Premium Truffle"/>
    <s v="ChocoLuxe"/>
    <n v="255"/>
    <n v="425"/>
    <n v="108375"/>
    <x v="0"/>
  </r>
  <r>
    <s v="ORD1722"/>
    <x v="722"/>
    <s v="UAE"/>
    <s v="Dubai"/>
    <s v="Customer_762"/>
    <x v="9"/>
    <s v="Premium Truffle"/>
    <s v="DarkMagic"/>
    <n v="253"/>
    <n v="96"/>
    <n v="24288"/>
    <x v="0"/>
  </r>
  <r>
    <s v="ORD1723"/>
    <x v="723"/>
    <s v="India"/>
    <s v="Delhi"/>
    <s v="Customer_102"/>
    <x v="3"/>
    <s v="Premium Truffle"/>
    <s v="MilkyBar"/>
    <n v="431"/>
    <n v="156"/>
    <n v="67236"/>
    <x v="1"/>
  </r>
  <r>
    <s v="ORD1724"/>
    <x v="724"/>
    <s v="UAE"/>
    <s v="Abu Dhabi"/>
    <s v="Customer_487"/>
    <x v="4"/>
    <s v="White Chocolate"/>
    <s v="MilkyBar"/>
    <n v="329"/>
    <n v="157"/>
    <n v="51653"/>
    <x v="3"/>
  </r>
  <r>
    <s v="ORD1725"/>
    <x v="725"/>
    <s v="Australia"/>
    <s v="Sydney"/>
    <s v="Customer_814"/>
    <x v="8"/>
    <s v="Premium Truffle"/>
    <s v="ChocoLuxe"/>
    <n v="96"/>
    <n v="314"/>
    <n v="30144"/>
    <x v="0"/>
  </r>
  <r>
    <s v="ORD1726"/>
    <x v="726"/>
    <s v="Australia"/>
    <s v="Brisbane"/>
    <s v="Customer_227"/>
    <x v="8"/>
    <s v="Milk Chocolate"/>
    <s v="DarkMagic"/>
    <n v="226"/>
    <n v="254"/>
    <n v="57404"/>
    <x v="2"/>
  </r>
  <r>
    <s v="ORD1727"/>
    <x v="727"/>
    <s v="USA"/>
    <s v="New York"/>
    <s v="Customer_820"/>
    <x v="5"/>
    <s v="Nutty Delight"/>
    <s v="TruffleBite"/>
    <n v="499"/>
    <n v="128"/>
    <n v="63872"/>
    <x v="3"/>
  </r>
  <r>
    <s v="ORD1728"/>
    <x v="728"/>
    <s v="USA"/>
    <s v="San Francisco"/>
    <s v="Customer_228"/>
    <x v="2"/>
    <s v="Nutty Delight"/>
    <s v="DarkMagic"/>
    <n v="16"/>
    <n v="204"/>
    <n v="3264"/>
    <x v="0"/>
  </r>
  <r>
    <s v="ORD1729"/>
    <x v="729"/>
    <s v="UAE"/>
    <s v="Sharjah"/>
    <s v="Customer_387"/>
    <x v="1"/>
    <s v="Dark Chocolate"/>
    <s v="MilkyBar"/>
    <n v="287"/>
    <n v="320"/>
    <n v="91840"/>
    <x v="3"/>
  </r>
  <r>
    <s v="ORD1730"/>
    <x v="730"/>
    <s v="Canada"/>
    <s v="Montreal"/>
    <s v="Customer_487"/>
    <x v="6"/>
    <s v="Dark Chocolate"/>
    <s v="DarkMagic"/>
    <n v="346"/>
    <n v="296"/>
    <n v="102416"/>
    <x v="1"/>
  </r>
  <r>
    <s v="ORD1731"/>
    <x v="731"/>
    <s v="UAE"/>
    <s v="Abu Dhabi"/>
    <s v="Customer_336"/>
    <x v="7"/>
    <s v="Nutty Delight"/>
    <s v="CocoaTreat"/>
    <n v="219"/>
    <n v="68"/>
    <n v="14892"/>
    <x v="3"/>
  </r>
  <r>
    <s v="ORD1732"/>
    <x v="732"/>
    <s v="USA"/>
    <s v="Houston"/>
    <s v="Customer_990"/>
    <x v="4"/>
    <s v="Milk Chocolate"/>
    <s v="CrunchyJoy"/>
    <n v="178"/>
    <n v="395"/>
    <n v="70310"/>
    <x v="0"/>
  </r>
  <r>
    <s v="ORD1733"/>
    <x v="733"/>
    <s v="Australia"/>
    <s v="Brisbane"/>
    <s v="Customer_360"/>
    <x v="9"/>
    <s v="White Chocolate"/>
    <s v="Silk"/>
    <n v="339"/>
    <n v="485"/>
    <n v="164415"/>
    <x v="1"/>
  </r>
  <r>
    <s v="ORD1734"/>
    <x v="734"/>
    <s v="UK"/>
    <s v="Manchester"/>
    <s v="Customer_208"/>
    <x v="7"/>
    <s v="White Chocolate"/>
    <s v="CocoaTreat"/>
    <n v="147"/>
    <n v="75"/>
    <n v="11025"/>
    <x v="3"/>
  </r>
  <r>
    <s v="ORD1735"/>
    <x v="735"/>
    <s v="UAE"/>
    <s v="Sharjah"/>
    <s v="Customer_395"/>
    <x v="9"/>
    <s v="Milk Chocolate"/>
    <s v="TruffleBite"/>
    <n v="450"/>
    <n v="266"/>
    <n v="119700"/>
    <x v="2"/>
  </r>
  <r>
    <s v="ORD1736"/>
    <x v="736"/>
    <s v="Australia"/>
    <s v="Sydney"/>
    <s v="Customer_221"/>
    <x v="7"/>
    <s v="White Chocolate"/>
    <s v="SweetNuts"/>
    <n v="400"/>
    <n v="203"/>
    <n v="81200"/>
    <x v="0"/>
  </r>
  <r>
    <s v="ORD1737"/>
    <x v="737"/>
    <s v="UK"/>
    <s v="Liverpool"/>
    <s v="Customer_884"/>
    <x v="4"/>
    <s v="Premium Truffle"/>
    <s v="CrunchyJoy"/>
    <n v="390"/>
    <n v="203"/>
    <n v="79170"/>
    <x v="1"/>
  </r>
  <r>
    <s v="ORD1738"/>
    <x v="738"/>
    <s v="UK"/>
    <s v="Manchester"/>
    <s v="Customer_382"/>
    <x v="6"/>
    <s v="Nutty Delight"/>
    <s v="Silk"/>
    <n v="315"/>
    <n v="223"/>
    <n v="70245"/>
    <x v="3"/>
  </r>
  <r>
    <s v="ORD1739"/>
    <x v="739"/>
    <s v="USA"/>
    <s v="Los Angeles"/>
    <s v="Customer_351"/>
    <x v="7"/>
    <s v="Nutty Delight"/>
    <s v="SweetNuts"/>
    <n v="239"/>
    <n v="141"/>
    <n v="33699"/>
    <x v="2"/>
  </r>
  <r>
    <s v="ORD1740"/>
    <x v="740"/>
    <s v="UAE"/>
    <s v="Abu Dhabi"/>
    <s v="Customer_983"/>
    <x v="4"/>
    <s v="Milk Chocolate"/>
    <s v="ChocoLuxe"/>
    <n v="484"/>
    <n v="482"/>
    <n v="233288"/>
    <x v="0"/>
  </r>
  <r>
    <s v="ORD1741"/>
    <x v="741"/>
    <s v="Germany"/>
    <s v="Berlin"/>
    <s v="Customer_442"/>
    <x v="0"/>
    <s v="White Chocolate"/>
    <s v="SweetNuts"/>
    <n v="317"/>
    <n v="387"/>
    <n v="122679"/>
    <x v="2"/>
  </r>
  <r>
    <s v="ORD1742"/>
    <x v="742"/>
    <s v="India"/>
    <s v="Hyderabad"/>
    <s v="Customer_191"/>
    <x v="6"/>
    <s v="Dark Chocolate"/>
    <s v="CrunchyJoy"/>
    <n v="170"/>
    <n v="230"/>
    <n v="39100"/>
    <x v="3"/>
  </r>
  <r>
    <s v="ORD1743"/>
    <x v="743"/>
    <s v="USA"/>
    <s v="San Francisco"/>
    <s v="Customer_217"/>
    <x v="3"/>
    <s v="Dark Chocolate"/>
    <s v="DarkMagic"/>
    <n v="10"/>
    <n v="180"/>
    <n v="1800"/>
    <x v="3"/>
  </r>
  <r>
    <s v="ORD1744"/>
    <x v="744"/>
    <s v="USA"/>
    <s v="Houston"/>
    <s v="Customer_638"/>
    <x v="9"/>
    <s v="White Chocolate"/>
    <s v="CrunchyJoy"/>
    <n v="245"/>
    <n v="499"/>
    <n v="122255"/>
    <x v="1"/>
  </r>
  <r>
    <s v="ORD1745"/>
    <x v="745"/>
    <s v="Germany"/>
    <s v="Berlin"/>
    <s v="Customer_156"/>
    <x v="8"/>
    <s v="Dark Chocolate"/>
    <s v="CocoaTreat"/>
    <n v="446"/>
    <n v="347"/>
    <n v="154762"/>
    <x v="2"/>
  </r>
  <r>
    <s v="ORD1746"/>
    <x v="746"/>
    <s v="India"/>
    <s v="Chennai"/>
    <s v="Customer_393"/>
    <x v="2"/>
    <s v="Milk Chocolate"/>
    <s v="SweetNuts"/>
    <n v="197"/>
    <n v="324"/>
    <n v="63828"/>
    <x v="1"/>
  </r>
  <r>
    <s v="ORD1747"/>
    <x v="747"/>
    <s v="Australia"/>
    <s v="Sydney"/>
    <s v="Customer_631"/>
    <x v="8"/>
    <s v="Milk Chocolate"/>
    <s v="MilkyBar"/>
    <n v="427"/>
    <n v="322"/>
    <n v="137494"/>
    <x v="0"/>
  </r>
  <r>
    <s v="ORD1748"/>
    <x v="748"/>
    <s v="Canada"/>
    <s v="Vancouver"/>
    <s v="Customer_108"/>
    <x v="6"/>
    <s v="White Chocolate"/>
    <s v="Silk"/>
    <n v="13"/>
    <n v="466"/>
    <n v="6058"/>
    <x v="1"/>
  </r>
  <r>
    <s v="ORD1749"/>
    <x v="749"/>
    <s v="UAE"/>
    <s v="Dubai"/>
    <s v="Customer_364"/>
    <x v="3"/>
    <s v="Dark Chocolate"/>
    <s v="Silk"/>
    <n v="410"/>
    <n v="125"/>
    <n v="51250"/>
    <x v="0"/>
  </r>
  <r>
    <s v="ORD1750"/>
    <x v="750"/>
    <s v="Canada"/>
    <s v="Calgary"/>
    <s v="Customer_257"/>
    <x v="9"/>
    <s v="Milk Chocolate"/>
    <s v="SweetNuts"/>
    <n v="141"/>
    <n v="226"/>
    <n v="31866"/>
    <x v="3"/>
  </r>
  <r>
    <s v="ORD1751"/>
    <x v="751"/>
    <s v="Australia"/>
    <s v="Melbourne"/>
    <s v="Customer_408"/>
    <x v="3"/>
    <s v="Milk Chocolate"/>
    <s v="Silk"/>
    <n v="436"/>
    <n v="233"/>
    <n v="101588"/>
    <x v="3"/>
  </r>
  <r>
    <s v="ORD1752"/>
    <x v="752"/>
    <s v="USA"/>
    <s v="San Francisco"/>
    <s v="Customer_499"/>
    <x v="7"/>
    <s v="Premium Truffle"/>
    <s v="MilkyBar"/>
    <n v="227"/>
    <n v="368"/>
    <n v="83536"/>
    <x v="2"/>
  </r>
  <r>
    <s v="ORD1753"/>
    <x v="753"/>
    <s v="India"/>
    <s v="Bangalore"/>
    <s v="Customer_691"/>
    <x v="9"/>
    <s v="Premium Truffle"/>
    <s v="CrunchyJoy"/>
    <n v="269"/>
    <n v="180"/>
    <n v="48420"/>
    <x v="0"/>
  </r>
  <r>
    <s v="ORD1754"/>
    <x v="754"/>
    <s v="USA"/>
    <s v="Los Angeles"/>
    <s v="Customer_259"/>
    <x v="7"/>
    <s v="Milk Chocolate"/>
    <s v="Silk"/>
    <n v="10"/>
    <n v="412"/>
    <n v="4120"/>
    <x v="3"/>
  </r>
  <r>
    <s v="ORD1755"/>
    <x v="755"/>
    <s v="UK"/>
    <s v="Birmingham"/>
    <s v="Customer_265"/>
    <x v="4"/>
    <s v="White Chocolate"/>
    <s v="SweetNuts"/>
    <n v="80"/>
    <n v="98"/>
    <n v="7840"/>
    <x v="2"/>
  </r>
  <r>
    <s v="ORD1756"/>
    <x v="756"/>
    <s v="USA"/>
    <s v="Los Angeles"/>
    <s v="Customer_699"/>
    <x v="6"/>
    <s v="Nutty Delight"/>
    <s v="TruffleBite"/>
    <n v="487"/>
    <n v="104"/>
    <n v="50648"/>
    <x v="2"/>
  </r>
  <r>
    <s v="ORD1757"/>
    <x v="757"/>
    <s v="USA"/>
    <s v="Chicago"/>
    <s v="Customer_214"/>
    <x v="4"/>
    <s v="Nutty Delight"/>
    <s v="TruffleBite"/>
    <n v="187"/>
    <n v="203"/>
    <n v="37961"/>
    <x v="1"/>
  </r>
  <r>
    <s v="ORD1758"/>
    <x v="758"/>
    <s v="Australia"/>
    <s v="Sydney"/>
    <s v="Customer_133"/>
    <x v="5"/>
    <s v="Milk Chocolate"/>
    <s v="ChocoLuxe"/>
    <n v="466"/>
    <n v="404"/>
    <n v="188264"/>
    <x v="2"/>
  </r>
  <r>
    <s v="ORD1759"/>
    <x v="759"/>
    <s v="Australia"/>
    <s v="Sydney"/>
    <s v="Customer_694"/>
    <x v="3"/>
    <s v="Milk Chocolate"/>
    <s v="CocoaTreat"/>
    <n v="198"/>
    <n v="249"/>
    <n v="49302"/>
    <x v="3"/>
  </r>
  <r>
    <s v="ORD1760"/>
    <x v="760"/>
    <s v="Australia"/>
    <s v="Sydney"/>
    <s v="Customer_319"/>
    <x v="7"/>
    <s v="Milk Chocolate"/>
    <s v="Silk"/>
    <n v="300"/>
    <n v="357"/>
    <n v="107100"/>
    <x v="1"/>
  </r>
  <r>
    <s v="ORD1761"/>
    <x v="761"/>
    <s v="Canada"/>
    <s v="Vancouver"/>
    <s v="Customer_452"/>
    <x v="0"/>
    <s v="White Chocolate"/>
    <s v="CocoaTreat"/>
    <n v="17"/>
    <n v="405"/>
    <n v="6885"/>
    <x v="0"/>
  </r>
  <r>
    <s v="ORD1762"/>
    <x v="762"/>
    <s v="UK"/>
    <s v="Liverpool"/>
    <s v="Customer_184"/>
    <x v="4"/>
    <s v="Premium Truffle"/>
    <s v="CrunchyJoy"/>
    <n v="262"/>
    <n v="422"/>
    <n v="110564"/>
    <x v="0"/>
  </r>
  <r>
    <s v="ORD1763"/>
    <x v="763"/>
    <s v="Australia"/>
    <s v="Brisbane"/>
    <s v="Customer_899"/>
    <x v="5"/>
    <s v="Milk Chocolate"/>
    <s v="SweetNuts"/>
    <n v="417"/>
    <n v="167"/>
    <n v="69639"/>
    <x v="3"/>
  </r>
  <r>
    <s v="ORD1764"/>
    <x v="764"/>
    <s v="India"/>
    <s v="Hyderabad"/>
    <s v="Customer_455"/>
    <x v="1"/>
    <s v="Milk Chocolate"/>
    <s v="Silk"/>
    <n v="476"/>
    <n v="312"/>
    <n v="148512"/>
    <x v="3"/>
  </r>
  <r>
    <s v="ORD1765"/>
    <x v="765"/>
    <s v="Canada"/>
    <s v="Toronto"/>
    <s v="Customer_844"/>
    <x v="8"/>
    <s v="Dark Chocolate"/>
    <s v="DarkMagic"/>
    <n v="301"/>
    <n v="95"/>
    <n v="28595"/>
    <x v="1"/>
  </r>
  <r>
    <s v="ORD1766"/>
    <x v="766"/>
    <s v="Germany"/>
    <s v="Frankfurt"/>
    <s v="Customer_169"/>
    <x v="9"/>
    <s v="White Chocolate"/>
    <s v="MilkyBar"/>
    <n v="443"/>
    <n v="351"/>
    <n v="155493"/>
    <x v="1"/>
  </r>
  <r>
    <s v="ORD1767"/>
    <x v="767"/>
    <s v="India"/>
    <s v="Bangalore"/>
    <s v="Customer_569"/>
    <x v="5"/>
    <s v="Milk Chocolate"/>
    <s v="Silk"/>
    <n v="253"/>
    <n v="405"/>
    <n v="102465"/>
    <x v="3"/>
  </r>
  <r>
    <s v="ORD1768"/>
    <x v="768"/>
    <s v="UAE"/>
    <s v="Dubai"/>
    <s v="Customer_463"/>
    <x v="6"/>
    <s v="Dark Chocolate"/>
    <s v="Silk"/>
    <n v="132"/>
    <n v="449"/>
    <n v="59268"/>
    <x v="3"/>
  </r>
  <r>
    <s v="ORD1769"/>
    <x v="769"/>
    <s v="UAE"/>
    <s v="Dubai"/>
    <s v="Customer_582"/>
    <x v="4"/>
    <s v="Nutty Delight"/>
    <s v="CocoaTreat"/>
    <n v="308"/>
    <n v="457"/>
    <n v="140756"/>
    <x v="0"/>
  </r>
  <r>
    <s v="ORD1770"/>
    <x v="770"/>
    <s v="India"/>
    <s v="Bangalore"/>
    <s v="Customer_318"/>
    <x v="6"/>
    <s v="Milk Chocolate"/>
    <s v="CocoaTreat"/>
    <n v="292"/>
    <n v="238"/>
    <n v="69496"/>
    <x v="0"/>
  </r>
  <r>
    <s v="ORD1771"/>
    <x v="771"/>
    <s v="Australia"/>
    <s v="Sydney"/>
    <s v="Customer_513"/>
    <x v="8"/>
    <s v="Milk Chocolate"/>
    <s v="TruffleBite"/>
    <n v="41"/>
    <n v="359"/>
    <n v="14719"/>
    <x v="0"/>
  </r>
  <r>
    <s v="ORD1772"/>
    <x v="772"/>
    <s v="Germany"/>
    <s v="Berlin"/>
    <s v="Customer_898"/>
    <x v="0"/>
    <s v="Dark Chocolate"/>
    <s v="MilkyBar"/>
    <n v="343"/>
    <n v="367"/>
    <n v="125881"/>
    <x v="3"/>
  </r>
  <r>
    <s v="ORD1773"/>
    <x v="773"/>
    <s v="Germany"/>
    <s v="Berlin"/>
    <s v="Customer_976"/>
    <x v="3"/>
    <s v="White Chocolate"/>
    <s v="SweetNuts"/>
    <n v="386"/>
    <n v="178"/>
    <n v="68708"/>
    <x v="2"/>
  </r>
  <r>
    <s v="ORD1774"/>
    <x v="774"/>
    <s v="Canada"/>
    <s v="Vancouver"/>
    <s v="Customer_847"/>
    <x v="3"/>
    <s v="Milk Chocolate"/>
    <s v="Silk"/>
    <n v="155"/>
    <n v="98"/>
    <n v="15190"/>
    <x v="3"/>
  </r>
  <r>
    <s v="ORD1775"/>
    <x v="775"/>
    <s v="Germany"/>
    <s v="Hamburg"/>
    <s v="Customer_797"/>
    <x v="6"/>
    <s v="Nutty Delight"/>
    <s v="TruffleBite"/>
    <n v="165"/>
    <n v="74"/>
    <n v="12210"/>
    <x v="3"/>
  </r>
  <r>
    <s v="ORD1776"/>
    <x v="776"/>
    <s v="UAE"/>
    <s v="Sharjah"/>
    <s v="Customer_914"/>
    <x v="7"/>
    <s v="Milk Chocolate"/>
    <s v="CocoaTreat"/>
    <n v="422"/>
    <n v="315"/>
    <n v="132930"/>
    <x v="0"/>
  </r>
  <r>
    <s v="ORD1777"/>
    <x v="777"/>
    <s v="UK"/>
    <s v="Birmingham"/>
    <s v="Customer_653"/>
    <x v="0"/>
    <s v="Nutty Delight"/>
    <s v="ChocoLuxe"/>
    <n v="25"/>
    <n v="167"/>
    <n v="4175"/>
    <x v="3"/>
  </r>
  <r>
    <s v="ORD1778"/>
    <x v="778"/>
    <s v="Australia"/>
    <s v="Melbourne"/>
    <s v="Customer_502"/>
    <x v="3"/>
    <s v="Premium Truffle"/>
    <s v="MilkyBar"/>
    <n v="364"/>
    <n v="193"/>
    <n v="70252"/>
    <x v="1"/>
  </r>
  <r>
    <s v="ORD1779"/>
    <x v="779"/>
    <s v="Germany"/>
    <s v="Hamburg"/>
    <s v="Customer_312"/>
    <x v="0"/>
    <s v="Premium Truffle"/>
    <s v="TruffleBite"/>
    <n v="56"/>
    <n v="491"/>
    <n v="27496"/>
    <x v="3"/>
  </r>
  <r>
    <s v="ORD1780"/>
    <x v="780"/>
    <s v="Canada"/>
    <s v="Montreal"/>
    <s v="Customer_847"/>
    <x v="5"/>
    <s v="Nutty Delight"/>
    <s v="TruffleBite"/>
    <n v="260"/>
    <n v="249"/>
    <n v="64740"/>
    <x v="3"/>
  </r>
  <r>
    <s v="ORD1781"/>
    <x v="781"/>
    <s v="UAE"/>
    <s v="Dubai"/>
    <s v="Customer_765"/>
    <x v="0"/>
    <s v="White Chocolate"/>
    <s v="CrunchyJoy"/>
    <n v="196"/>
    <n v="206"/>
    <n v="40376"/>
    <x v="3"/>
  </r>
  <r>
    <s v="ORD1782"/>
    <x v="782"/>
    <s v="UK"/>
    <s v="Birmingham"/>
    <s v="Customer_551"/>
    <x v="2"/>
    <s v="Milk Chocolate"/>
    <s v="TruffleBite"/>
    <n v="40"/>
    <n v="397"/>
    <n v="15880"/>
    <x v="3"/>
  </r>
  <r>
    <s v="ORD1783"/>
    <x v="783"/>
    <s v="USA"/>
    <s v="San Francisco"/>
    <s v="Customer_201"/>
    <x v="8"/>
    <s v="Milk Chocolate"/>
    <s v="CrunchyJoy"/>
    <n v="269"/>
    <n v="183"/>
    <n v="49227"/>
    <x v="2"/>
  </r>
  <r>
    <s v="ORD1784"/>
    <x v="784"/>
    <s v="USA"/>
    <s v="Los Angeles"/>
    <s v="Customer_426"/>
    <x v="3"/>
    <s v="Premium Truffle"/>
    <s v="Silk"/>
    <n v="430"/>
    <n v="449"/>
    <n v="193070"/>
    <x v="3"/>
  </r>
  <r>
    <s v="ORD1785"/>
    <x v="785"/>
    <s v="UK"/>
    <s v="London"/>
    <s v="Customer_169"/>
    <x v="0"/>
    <s v="Nutty Delight"/>
    <s v="Silk"/>
    <n v="26"/>
    <n v="197"/>
    <n v="5122"/>
    <x v="1"/>
  </r>
  <r>
    <s v="ORD1786"/>
    <x v="786"/>
    <s v="UAE"/>
    <s v="Sharjah"/>
    <s v="Customer_485"/>
    <x v="6"/>
    <s v="Milk Chocolate"/>
    <s v="CocoaTreat"/>
    <n v="48"/>
    <n v="385"/>
    <n v="18480"/>
    <x v="1"/>
  </r>
  <r>
    <s v="ORD1787"/>
    <x v="787"/>
    <s v="Canada"/>
    <s v="Montreal"/>
    <s v="Customer_758"/>
    <x v="1"/>
    <s v="Milk Chocolate"/>
    <s v="ChocoLuxe"/>
    <n v="313"/>
    <n v="120"/>
    <n v="37560"/>
    <x v="3"/>
  </r>
  <r>
    <s v="ORD1788"/>
    <x v="788"/>
    <s v="UK"/>
    <s v="Birmingham"/>
    <s v="Customer_571"/>
    <x v="2"/>
    <s v="White Chocolate"/>
    <s v="DarkMagic"/>
    <n v="439"/>
    <n v="282"/>
    <n v="123798"/>
    <x v="0"/>
  </r>
  <r>
    <s v="ORD1789"/>
    <x v="789"/>
    <s v="Australia"/>
    <s v="Melbourne"/>
    <s v="Customer_660"/>
    <x v="2"/>
    <s v="Dark Chocolate"/>
    <s v="DarkMagic"/>
    <n v="483"/>
    <n v="383"/>
    <n v="184989"/>
    <x v="2"/>
  </r>
  <r>
    <s v="ORD1790"/>
    <x v="790"/>
    <s v="Australia"/>
    <s v="Melbourne"/>
    <s v="Customer_189"/>
    <x v="7"/>
    <s v="Premium Truffle"/>
    <s v="DarkMagic"/>
    <n v="441"/>
    <n v="348"/>
    <n v="153468"/>
    <x v="3"/>
  </r>
  <r>
    <s v="ORD1791"/>
    <x v="791"/>
    <s v="USA"/>
    <s v="Chicago"/>
    <s v="Customer_128"/>
    <x v="0"/>
    <s v="Premium Truffle"/>
    <s v="CocoaTreat"/>
    <n v="48"/>
    <n v="203"/>
    <n v="9744"/>
    <x v="3"/>
  </r>
  <r>
    <s v="ORD1792"/>
    <x v="792"/>
    <s v="Germany"/>
    <s v="Berlin"/>
    <s v="Customer_832"/>
    <x v="7"/>
    <s v="Dark Chocolate"/>
    <s v="CrunchyJoy"/>
    <n v="498"/>
    <n v="139"/>
    <n v="69222"/>
    <x v="3"/>
  </r>
  <r>
    <s v="ORD1793"/>
    <x v="793"/>
    <s v="Canada"/>
    <s v="Vancouver"/>
    <s v="Customer_338"/>
    <x v="7"/>
    <s v="Milk Chocolate"/>
    <s v="CocoaTreat"/>
    <n v="141"/>
    <n v="383"/>
    <n v="54003"/>
    <x v="0"/>
  </r>
  <r>
    <s v="ORD1794"/>
    <x v="794"/>
    <s v="USA"/>
    <s v="Los Angeles"/>
    <s v="Customer_505"/>
    <x v="1"/>
    <s v="White Chocolate"/>
    <s v="MilkyBar"/>
    <n v="39"/>
    <n v="248"/>
    <n v="9672"/>
    <x v="0"/>
  </r>
  <r>
    <s v="ORD1795"/>
    <x v="795"/>
    <s v="Germany"/>
    <s v="Hamburg"/>
    <s v="Customer_838"/>
    <x v="5"/>
    <s v="White Chocolate"/>
    <s v="MilkyBar"/>
    <n v="167"/>
    <n v="210"/>
    <n v="35070"/>
    <x v="0"/>
  </r>
  <r>
    <s v="ORD1796"/>
    <x v="796"/>
    <s v="Germany"/>
    <s v="Munich"/>
    <s v="Customer_160"/>
    <x v="0"/>
    <s v="Premium Truffle"/>
    <s v="ChocoLuxe"/>
    <n v="287"/>
    <n v="75"/>
    <n v="21525"/>
    <x v="2"/>
  </r>
  <r>
    <s v="ORD1797"/>
    <x v="797"/>
    <s v="Australia"/>
    <s v="Melbourne"/>
    <s v="Customer_526"/>
    <x v="4"/>
    <s v="White Chocolate"/>
    <s v="MilkyBar"/>
    <n v="212"/>
    <n v="170"/>
    <n v="36040"/>
    <x v="1"/>
  </r>
  <r>
    <s v="ORD1798"/>
    <x v="798"/>
    <s v="UAE"/>
    <s v="Dubai"/>
    <s v="Customer_643"/>
    <x v="3"/>
    <s v="Dark Chocolate"/>
    <s v="DarkMagic"/>
    <n v="75"/>
    <n v="350"/>
    <n v="26250"/>
    <x v="2"/>
  </r>
  <r>
    <s v="ORD1799"/>
    <x v="799"/>
    <s v="India"/>
    <s v="Chennai"/>
    <s v="Customer_246"/>
    <x v="7"/>
    <s v="Milk Chocolate"/>
    <s v="DarkMagic"/>
    <n v="117"/>
    <n v="261"/>
    <n v="30537"/>
    <x v="0"/>
  </r>
  <r>
    <s v="ORD1800"/>
    <x v="800"/>
    <s v="UAE"/>
    <s v="Sharjah"/>
    <s v="Customer_964"/>
    <x v="8"/>
    <s v="Dark Chocolate"/>
    <s v="CocoaTreat"/>
    <n v="277"/>
    <n v="112"/>
    <n v="31024"/>
    <x v="1"/>
  </r>
  <r>
    <s v="ORD1801"/>
    <x v="801"/>
    <s v="India"/>
    <s v="Delhi"/>
    <s v="Customer_716"/>
    <x v="9"/>
    <s v="Nutty Delight"/>
    <s v="TruffleBite"/>
    <n v="231"/>
    <n v="485"/>
    <n v="112035"/>
    <x v="1"/>
  </r>
  <r>
    <s v="ORD1802"/>
    <x v="802"/>
    <s v="UK"/>
    <s v="Liverpool"/>
    <s v="Customer_190"/>
    <x v="8"/>
    <s v="Premium Truffle"/>
    <s v="MilkyBar"/>
    <n v="301"/>
    <n v="117"/>
    <n v="35217"/>
    <x v="0"/>
  </r>
  <r>
    <s v="ORD1803"/>
    <x v="803"/>
    <s v="Australia"/>
    <s v="Sydney"/>
    <s v="Customer_436"/>
    <x v="1"/>
    <s v="White Chocolate"/>
    <s v="CocoaTreat"/>
    <n v="27"/>
    <n v="302"/>
    <n v="8154"/>
    <x v="0"/>
  </r>
  <r>
    <s v="ORD1804"/>
    <x v="804"/>
    <s v="Germany"/>
    <s v="Munich"/>
    <s v="Customer_931"/>
    <x v="1"/>
    <s v="Nutty Delight"/>
    <s v="Silk"/>
    <n v="99"/>
    <n v="459"/>
    <n v="45441"/>
    <x v="2"/>
  </r>
  <r>
    <s v="ORD1805"/>
    <x v="805"/>
    <s v="Canada"/>
    <s v="Montreal"/>
    <s v="Customer_326"/>
    <x v="6"/>
    <s v="White Chocolate"/>
    <s v="Silk"/>
    <n v="190"/>
    <n v="51"/>
    <n v="9690"/>
    <x v="0"/>
  </r>
  <r>
    <s v="ORD1806"/>
    <x v="806"/>
    <s v="India"/>
    <s v="Mumbai"/>
    <s v="Customer_273"/>
    <x v="5"/>
    <s v="Milk Chocolate"/>
    <s v="TruffleBite"/>
    <n v="264"/>
    <n v="447"/>
    <n v="118008"/>
    <x v="1"/>
  </r>
  <r>
    <s v="ORD1807"/>
    <x v="807"/>
    <s v="UAE"/>
    <s v="Dubai"/>
    <s v="Customer_494"/>
    <x v="3"/>
    <s v="Milk Chocolate"/>
    <s v="TruffleBite"/>
    <n v="464"/>
    <n v="157"/>
    <n v="72848"/>
    <x v="3"/>
  </r>
  <r>
    <s v="ORD1808"/>
    <x v="808"/>
    <s v="Germany"/>
    <s v="Berlin"/>
    <s v="Customer_515"/>
    <x v="7"/>
    <s v="Milk Chocolate"/>
    <s v="TruffleBite"/>
    <n v="262"/>
    <n v="335"/>
    <n v="87770"/>
    <x v="0"/>
  </r>
  <r>
    <s v="ORD1809"/>
    <x v="809"/>
    <s v="India"/>
    <s v="Delhi"/>
    <s v="Customer_838"/>
    <x v="8"/>
    <s v="White Chocolate"/>
    <s v="CocoaTreat"/>
    <n v="266"/>
    <n v="98"/>
    <n v="26068"/>
    <x v="0"/>
  </r>
  <r>
    <s v="ORD1810"/>
    <x v="810"/>
    <s v="India"/>
    <s v="Hyderabad"/>
    <s v="Customer_319"/>
    <x v="9"/>
    <s v="Nutty Delight"/>
    <s v="Silk"/>
    <n v="392"/>
    <n v="189"/>
    <n v="74088"/>
    <x v="2"/>
  </r>
  <r>
    <s v="ORD1811"/>
    <x v="811"/>
    <s v="India"/>
    <s v="Chennai"/>
    <s v="Customer_289"/>
    <x v="1"/>
    <s v="Milk Chocolate"/>
    <s v="DarkMagic"/>
    <n v="451"/>
    <n v="267"/>
    <n v="120417"/>
    <x v="2"/>
  </r>
  <r>
    <s v="ORD1812"/>
    <x v="812"/>
    <s v="Canada"/>
    <s v="Montreal"/>
    <s v="Customer_227"/>
    <x v="1"/>
    <s v="Nutty Delight"/>
    <s v="TruffleBite"/>
    <n v="355"/>
    <n v="93"/>
    <n v="33015"/>
    <x v="0"/>
  </r>
  <r>
    <s v="ORD1813"/>
    <x v="813"/>
    <s v="Australia"/>
    <s v="Perth"/>
    <s v="Customer_581"/>
    <x v="5"/>
    <s v="White Chocolate"/>
    <s v="ChocoLuxe"/>
    <n v="96"/>
    <n v="466"/>
    <n v="44736"/>
    <x v="1"/>
  </r>
  <r>
    <s v="ORD1814"/>
    <x v="814"/>
    <s v="Canada"/>
    <s v="Vancouver"/>
    <s v="Customer_608"/>
    <x v="9"/>
    <s v="Nutty Delight"/>
    <s v="CrunchyJoy"/>
    <n v="99"/>
    <n v="318"/>
    <n v="31482"/>
    <x v="1"/>
  </r>
  <r>
    <s v="ORD1815"/>
    <x v="815"/>
    <s v="USA"/>
    <s v="Chicago"/>
    <s v="Customer_836"/>
    <x v="9"/>
    <s v="White Chocolate"/>
    <s v="CocoaTreat"/>
    <n v="246"/>
    <n v="127"/>
    <n v="31242"/>
    <x v="3"/>
  </r>
  <r>
    <s v="ORD1816"/>
    <x v="816"/>
    <s v="Germany"/>
    <s v="Munich"/>
    <s v="Customer_378"/>
    <x v="5"/>
    <s v="White Chocolate"/>
    <s v="TruffleBite"/>
    <n v="399"/>
    <n v="265"/>
    <n v="105735"/>
    <x v="0"/>
  </r>
  <r>
    <s v="ORD1817"/>
    <x v="817"/>
    <s v="Australia"/>
    <s v="Brisbane"/>
    <s v="Customer_534"/>
    <x v="1"/>
    <s v="Premium Truffle"/>
    <s v="CrunchyJoy"/>
    <n v="79"/>
    <n v="431"/>
    <n v="34049"/>
    <x v="2"/>
  </r>
  <r>
    <s v="ORD1818"/>
    <x v="818"/>
    <s v="Australia"/>
    <s v="Melbourne"/>
    <s v="Customer_204"/>
    <x v="3"/>
    <s v="White Chocolate"/>
    <s v="SweetNuts"/>
    <n v="53"/>
    <n v="147"/>
    <n v="7791"/>
    <x v="1"/>
  </r>
  <r>
    <s v="ORD1819"/>
    <x v="819"/>
    <s v="Australia"/>
    <s v="Sydney"/>
    <s v="Customer_567"/>
    <x v="0"/>
    <s v="White Chocolate"/>
    <s v="TruffleBite"/>
    <n v="209"/>
    <n v="285"/>
    <n v="59565"/>
    <x v="3"/>
  </r>
  <r>
    <s v="ORD1820"/>
    <x v="820"/>
    <s v="UAE"/>
    <s v="Abu Dhabi"/>
    <s v="Customer_503"/>
    <x v="0"/>
    <s v="Dark Chocolate"/>
    <s v="Silk"/>
    <n v="161"/>
    <n v="331"/>
    <n v="53291"/>
    <x v="0"/>
  </r>
  <r>
    <s v="ORD1821"/>
    <x v="821"/>
    <s v="Australia"/>
    <s v="Brisbane"/>
    <s v="Customer_746"/>
    <x v="5"/>
    <s v="Milk Chocolate"/>
    <s v="MilkyBar"/>
    <n v="95"/>
    <n v="198"/>
    <n v="18810"/>
    <x v="1"/>
  </r>
  <r>
    <s v="ORD1822"/>
    <x v="822"/>
    <s v="Canada"/>
    <s v="Calgary"/>
    <s v="Customer_966"/>
    <x v="9"/>
    <s v="Premium Truffle"/>
    <s v="TruffleBite"/>
    <n v="28"/>
    <n v="461"/>
    <n v="12908"/>
    <x v="0"/>
  </r>
  <r>
    <s v="ORD1823"/>
    <x v="823"/>
    <s v="Australia"/>
    <s v="Perth"/>
    <s v="Customer_980"/>
    <x v="7"/>
    <s v="Premium Truffle"/>
    <s v="CocoaTreat"/>
    <n v="110"/>
    <n v="353"/>
    <n v="38830"/>
    <x v="0"/>
  </r>
  <r>
    <s v="ORD1824"/>
    <x v="824"/>
    <s v="UK"/>
    <s v="Birmingham"/>
    <s v="Customer_108"/>
    <x v="5"/>
    <s v="Premium Truffle"/>
    <s v="MilkyBar"/>
    <n v="411"/>
    <n v="473"/>
    <n v="194403"/>
    <x v="1"/>
  </r>
  <r>
    <s v="ORD1825"/>
    <x v="825"/>
    <s v="Germany"/>
    <s v="Munich"/>
    <s v="Customer_534"/>
    <x v="3"/>
    <s v="Dark Chocolate"/>
    <s v="SweetNuts"/>
    <n v="104"/>
    <n v="115"/>
    <n v="11960"/>
    <x v="1"/>
  </r>
  <r>
    <s v="ORD1826"/>
    <x v="826"/>
    <s v="Australia"/>
    <s v="Sydney"/>
    <s v="Customer_607"/>
    <x v="5"/>
    <s v="White Chocolate"/>
    <s v="ChocoLuxe"/>
    <n v="263"/>
    <n v="283"/>
    <n v="74429"/>
    <x v="1"/>
  </r>
  <r>
    <s v="ORD1827"/>
    <x v="827"/>
    <s v="Germany"/>
    <s v="Berlin"/>
    <s v="Customer_109"/>
    <x v="2"/>
    <s v="Milk Chocolate"/>
    <s v="MilkyBar"/>
    <n v="366"/>
    <n v="136"/>
    <n v="49776"/>
    <x v="0"/>
  </r>
  <r>
    <s v="ORD1828"/>
    <x v="828"/>
    <s v="UK"/>
    <s v="Manchester"/>
    <s v="Customer_146"/>
    <x v="8"/>
    <s v="Nutty Delight"/>
    <s v="CrunchyJoy"/>
    <n v="39"/>
    <n v="128"/>
    <n v="4992"/>
    <x v="0"/>
  </r>
  <r>
    <s v="ORD1829"/>
    <x v="829"/>
    <s v="UK"/>
    <s v="Liverpool"/>
    <s v="Customer_135"/>
    <x v="9"/>
    <s v="White Chocolate"/>
    <s v="DarkMagic"/>
    <n v="258"/>
    <n v="254"/>
    <n v="65532"/>
    <x v="3"/>
  </r>
  <r>
    <s v="ORD1830"/>
    <x v="830"/>
    <s v="Germany"/>
    <s v="Hamburg"/>
    <s v="Customer_942"/>
    <x v="6"/>
    <s v="Dark Chocolate"/>
    <s v="TruffleBite"/>
    <n v="435"/>
    <n v="328"/>
    <n v="142680"/>
    <x v="2"/>
  </r>
  <r>
    <s v="ORD1831"/>
    <x v="831"/>
    <s v="India"/>
    <s v="Hyderabad"/>
    <s v="Customer_870"/>
    <x v="6"/>
    <s v="White Chocolate"/>
    <s v="SweetNuts"/>
    <n v="42"/>
    <n v="386"/>
    <n v="16212"/>
    <x v="0"/>
  </r>
  <r>
    <s v="ORD1832"/>
    <x v="832"/>
    <s v="USA"/>
    <s v="Los Angeles"/>
    <s v="Customer_265"/>
    <x v="9"/>
    <s v="White Chocolate"/>
    <s v="SweetNuts"/>
    <n v="467"/>
    <n v="303"/>
    <n v="141501"/>
    <x v="2"/>
  </r>
  <r>
    <s v="ORD1833"/>
    <x v="833"/>
    <s v="UAE"/>
    <s v="Sharjah"/>
    <s v="Customer_961"/>
    <x v="3"/>
    <s v="Dark Chocolate"/>
    <s v="MilkyBar"/>
    <n v="238"/>
    <n v="353"/>
    <n v="84014"/>
    <x v="1"/>
  </r>
  <r>
    <s v="ORD1834"/>
    <x v="834"/>
    <s v="India"/>
    <s v="Mumbai"/>
    <s v="Customer_139"/>
    <x v="2"/>
    <s v="Premium Truffle"/>
    <s v="ChocoLuxe"/>
    <n v="21"/>
    <n v="429"/>
    <n v="9009"/>
    <x v="0"/>
  </r>
  <r>
    <s v="ORD1835"/>
    <x v="835"/>
    <s v="India"/>
    <s v="Hyderabad"/>
    <s v="Customer_194"/>
    <x v="2"/>
    <s v="Premium Truffle"/>
    <s v="Silk"/>
    <n v="127"/>
    <n v="179"/>
    <n v="22733"/>
    <x v="3"/>
  </r>
  <r>
    <s v="ORD1836"/>
    <x v="836"/>
    <s v="Canada"/>
    <s v="Vancouver"/>
    <s v="Customer_714"/>
    <x v="1"/>
    <s v="Milk Chocolate"/>
    <s v="TruffleBite"/>
    <n v="359"/>
    <n v="133"/>
    <n v="47747"/>
    <x v="3"/>
  </r>
  <r>
    <s v="ORD1837"/>
    <x v="837"/>
    <s v="UAE"/>
    <s v="Dubai"/>
    <s v="Customer_542"/>
    <x v="8"/>
    <s v="Milk Chocolate"/>
    <s v="SweetNuts"/>
    <n v="164"/>
    <n v="325"/>
    <n v="53300"/>
    <x v="2"/>
  </r>
  <r>
    <s v="ORD1838"/>
    <x v="838"/>
    <s v="UAE"/>
    <s v="Abu Dhabi"/>
    <s v="Customer_792"/>
    <x v="0"/>
    <s v="Premium Truffle"/>
    <s v="ChocoLuxe"/>
    <n v="432"/>
    <n v="236"/>
    <n v="101952"/>
    <x v="1"/>
  </r>
  <r>
    <s v="ORD1839"/>
    <x v="839"/>
    <s v="India"/>
    <s v="Mumbai"/>
    <s v="Customer_486"/>
    <x v="4"/>
    <s v="Nutty Delight"/>
    <s v="DarkMagic"/>
    <n v="402"/>
    <n v="95"/>
    <n v="38190"/>
    <x v="2"/>
  </r>
  <r>
    <s v="ORD1840"/>
    <x v="840"/>
    <s v="Australia"/>
    <s v="Melbourne"/>
    <s v="Customer_498"/>
    <x v="3"/>
    <s v="White Chocolate"/>
    <s v="SweetNuts"/>
    <n v="255"/>
    <n v="436"/>
    <n v="111180"/>
    <x v="1"/>
  </r>
  <r>
    <s v="ORD1841"/>
    <x v="841"/>
    <s v="Canada"/>
    <s v="Vancouver"/>
    <s v="Customer_489"/>
    <x v="4"/>
    <s v="Nutty Delight"/>
    <s v="ChocoLuxe"/>
    <n v="414"/>
    <n v="232"/>
    <n v="96048"/>
    <x v="3"/>
  </r>
  <r>
    <s v="ORD1842"/>
    <x v="842"/>
    <s v="Canada"/>
    <s v="Calgary"/>
    <s v="Customer_913"/>
    <x v="4"/>
    <s v="White Chocolate"/>
    <s v="CocoaTreat"/>
    <n v="341"/>
    <n v="317"/>
    <n v="108097"/>
    <x v="2"/>
  </r>
  <r>
    <s v="ORD1843"/>
    <x v="843"/>
    <s v="UK"/>
    <s v="Birmingham"/>
    <s v="Customer_800"/>
    <x v="9"/>
    <s v="Premium Truffle"/>
    <s v="Silk"/>
    <n v="256"/>
    <n v="345"/>
    <n v="88320"/>
    <x v="3"/>
  </r>
  <r>
    <s v="ORD1844"/>
    <x v="844"/>
    <s v="UAE"/>
    <s v="Abu Dhabi"/>
    <s v="Customer_751"/>
    <x v="6"/>
    <s v="Milk Chocolate"/>
    <s v="Silk"/>
    <n v="38"/>
    <n v="371"/>
    <n v="14098"/>
    <x v="3"/>
  </r>
  <r>
    <s v="ORD1845"/>
    <x v="845"/>
    <s v="India"/>
    <s v="Delhi"/>
    <s v="Customer_538"/>
    <x v="6"/>
    <s v="Milk Chocolate"/>
    <s v="SweetNuts"/>
    <n v="170"/>
    <n v="149"/>
    <n v="25330"/>
    <x v="1"/>
  </r>
  <r>
    <s v="ORD1846"/>
    <x v="846"/>
    <s v="UK"/>
    <s v="Manchester"/>
    <s v="Customer_692"/>
    <x v="0"/>
    <s v="Nutty Delight"/>
    <s v="CrunchyJoy"/>
    <n v="244"/>
    <n v="127"/>
    <n v="30988"/>
    <x v="2"/>
  </r>
  <r>
    <s v="ORD1847"/>
    <x v="847"/>
    <s v="Germany"/>
    <s v="Hamburg"/>
    <s v="Customer_350"/>
    <x v="9"/>
    <s v="Milk Chocolate"/>
    <s v="SweetNuts"/>
    <n v="199"/>
    <n v="321"/>
    <n v="63879"/>
    <x v="2"/>
  </r>
  <r>
    <s v="ORD1848"/>
    <x v="848"/>
    <s v="USA"/>
    <s v="San Francisco"/>
    <s v="Customer_134"/>
    <x v="4"/>
    <s v="Premium Truffle"/>
    <s v="MilkyBar"/>
    <n v="126"/>
    <n v="388"/>
    <n v="48888"/>
    <x v="3"/>
  </r>
  <r>
    <s v="ORD1849"/>
    <x v="849"/>
    <s v="Canada"/>
    <s v="Calgary"/>
    <s v="Customer_574"/>
    <x v="7"/>
    <s v="Nutty Delight"/>
    <s v="TruffleBite"/>
    <n v="280"/>
    <n v="211"/>
    <n v="59080"/>
    <x v="3"/>
  </r>
  <r>
    <s v="ORD1850"/>
    <x v="850"/>
    <s v="Germany"/>
    <s v="Hamburg"/>
    <s v="Customer_910"/>
    <x v="6"/>
    <s v="White Chocolate"/>
    <s v="ChocoLuxe"/>
    <n v="267"/>
    <n v="93"/>
    <n v="24831"/>
    <x v="1"/>
  </r>
  <r>
    <s v="ORD1851"/>
    <x v="851"/>
    <s v="Germany"/>
    <s v="Frankfurt"/>
    <s v="Customer_313"/>
    <x v="3"/>
    <s v="Milk Chocolate"/>
    <s v="SweetNuts"/>
    <n v="189"/>
    <n v="287"/>
    <n v="54243"/>
    <x v="0"/>
  </r>
  <r>
    <s v="ORD1852"/>
    <x v="852"/>
    <s v="Australia"/>
    <s v="Brisbane"/>
    <s v="Customer_276"/>
    <x v="3"/>
    <s v="Dark Chocolate"/>
    <s v="TruffleBite"/>
    <n v="496"/>
    <n v="183"/>
    <n v="90768"/>
    <x v="0"/>
  </r>
  <r>
    <s v="ORD1853"/>
    <x v="853"/>
    <s v="USA"/>
    <s v="Houston"/>
    <s v="Customer_351"/>
    <x v="1"/>
    <s v="Milk Chocolate"/>
    <s v="MilkyBar"/>
    <n v="382"/>
    <n v="241"/>
    <n v="92062"/>
    <x v="3"/>
  </r>
  <r>
    <s v="ORD1854"/>
    <x v="854"/>
    <s v="Germany"/>
    <s v="Berlin"/>
    <s v="Customer_646"/>
    <x v="5"/>
    <s v="White Chocolate"/>
    <s v="CocoaTreat"/>
    <n v="181"/>
    <n v="405"/>
    <n v="73305"/>
    <x v="0"/>
  </r>
  <r>
    <s v="ORD1855"/>
    <x v="855"/>
    <s v="Germany"/>
    <s v="Hamburg"/>
    <s v="Customer_246"/>
    <x v="7"/>
    <s v="Nutty Delight"/>
    <s v="CocoaTreat"/>
    <n v="447"/>
    <n v="327"/>
    <n v="146169"/>
    <x v="0"/>
  </r>
  <r>
    <s v="ORD1856"/>
    <x v="856"/>
    <s v="USA"/>
    <s v="San Francisco"/>
    <s v="Customer_459"/>
    <x v="6"/>
    <s v="White Chocolate"/>
    <s v="TruffleBite"/>
    <n v="283"/>
    <n v="67"/>
    <n v="18961"/>
    <x v="0"/>
  </r>
  <r>
    <s v="ORD1857"/>
    <x v="857"/>
    <s v="USA"/>
    <s v="Chicago"/>
    <s v="Customer_958"/>
    <x v="2"/>
    <s v="Dark Chocolate"/>
    <s v="SweetNuts"/>
    <n v="268"/>
    <n v="61"/>
    <n v="16348"/>
    <x v="0"/>
  </r>
  <r>
    <s v="ORD1858"/>
    <x v="858"/>
    <s v="Germany"/>
    <s v="Berlin"/>
    <s v="Customer_408"/>
    <x v="6"/>
    <s v="Premium Truffle"/>
    <s v="Silk"/>
    <n v="144"/>
    <n v="229"/>
    <n v="32976"/>
    <x v="3"/>
  </r>
  <r>
    <s v="ORD1859"/>
    <x v="859"/>
    <s v="USA"/>
    <s v="Chicago"/>
    <s v="Customer_106"/>
    <x v="1"/>
    <s v="Milk Chocolate"/>
    <s v="ChocoLuxe"/>
    <n v="180"/>
    <n v="172"/>
    <n v="30960"/>
    <x v="0"/>
  </r>
  <r>
    <s v="ORD1860"/>
    <x v="860"/>
    <s v="Germany"/>
    <s v="Frankfurt"/>
    <s v="Customer_830"/>
    <x v="3"/>
    <s v="Nutty Delight"/>
    <s v="ChocoLuxe"/>
    <n v="219"/>
    <n v="295"/>
    <n v="64605"/>
    <x v="0"/>
  </r>
  <r>
    <s v="ORD1861"/>
    <x v="861"/>
    <s v="Germany"/>
    <s v="Munich"/>
    <s v="Customer_684"/>
    <x v="4"/>
    <s v="Premium Truffle"/>
    <s v="CocoaTreat"/>
    <n v="245"/>
    <n v="271"/>
    <n v="66395"/>
    <x v="1"/>
  </r>
  <r>
    <s v="ORD1862"/>
    <x v="862"/>
    <s v="Australia"/>
    <s v="Brisbane"/>
    <s v="Customer_917"/>
    <x v="2"/>
    <s v="White Chocolate"/>
    <s v="CocoaTreat"/>
    <n v="431"/>
    <n v="422"/>
    <n v="181882"/>
    <x v="3"/>
  </r>
  <r>
    <s v="ORD1863"/>
    <x v="863"/>
    <s v="India"/>
    <s v="Delhi"/>
    <s v="Customer_718"/>
    <x v="9"/>
    <s v="Nutty Delight"/>
    <s v="Silk"/>
    <n v="430"/>
    <n v="100"/>
    <n v="43000"/>
    <x v="2"/>
  </r>
  <r>
    <s v="ORD1864"/>
    <x v="864"/>
    <s v="Germany"/>
    <s v="Munich"/>
    <s v="Customer_672"/>
    <x v="8"/>
    <s v="Premium Truffle"/>
    <s v="CrunchyJoy"/>
    <n v="195"/>
    <n v="120"/>
    <n v="23400"/>
    <x v="2"/>
  </r>
  <r>
    <s v="ORD1865"/>
    <x v="865"/>
    <s v="UK"/>
    <s v="Manchester"/>
    <s v="Customer_567"/>
    <x v="4"/>
    <s v="Nutty Delight"/>
    <s v="SweetNuts"/>
    <n v="426"/>
    <n v="97"/>
    <n v="41322"/>
    <x v="1"/>
  </r>
  <r>
    <s v="ORD1866"/>
    <x v="866"/>
    <s v="Canada"/>
    <s v="Vancouver"/>
    <s v="Customer_633"/>
    <x v="8"/>
    <s v="Dark Chocolate"/>
    <s v="CocoaTreat"/>
    <n v="373"/>
    <n v="68"/>
    <n v="25364"/>
    <x v="1"/>
  </r>
  <r>
    <s v="ORD1867"/>
    <x v="867"/>
    <s v="UAE"/>
    <s v="Dubai"/>
    <s v="Customer_867"/>
    <x v="7"/>
    <s v="Dark Chocolate"/>
    <s v="CocoaTreat"/>
    <n v="452"/>
    <n v="311"/>
    <n v="140572"/>
    <x v="3"/>
  </r>
  <r>
    <s v="ORD1868"/>
    <x v="868"/>
    <s v="India"/>
    <s v="Hyderabad"/>
    <s v="Customer_983"/>
    <x v="5"/>
    <s v="Milk Chocolate"/>
    <s v="CocoaTreat"/>
    <n v="104"/>
    <n v="133"/>
    <n v="13832"/>
    <x v="2"/>
  </r>
  <r>
    <s v="ORD1869"/>
    <x v="869"/>
    <s v="India"/>
    <s v="Mumbai"/>
    <s v="Customer_620"/>
    <x v="2"/>
    <s v="Milk Chocolate"/>
    <s v="ChocoLuxe"/>
    <n v="387"/>
    <n v="204"/>
    <n v="78948"/>
    <x v="0"/>
  </r>
  <r>
    <s v="ORD1870"/>
    <x v="870"/>
    <s v="India"/>
    <s v="Bangalore"/>
    <s v="Customer_244"/>
    <x v="0"/>
    <s v="Dark Chocolate"/>
    <s v="SweetNuts"/>
    <n v="20"/>
    <n v="102"/>
    <n v="2040"/>
    <x v="1"/>
  </r>
  <r>
    <s v="ORD1871"/>
    <x v="871"/>
    <s v="Australia"/>
    <s v="Sydney"/>
    <s v="Customer_610"/>
    <x v="2"/>
    <s v="Nutty Delight"/>
    <s v="MilkyBar"/>
    <n v="77"/>
    <n v="156"/>
    <n v="12012"/>
    <x v="2"/>
  </r>
  <r>
    <s v="ORD1872"/>
    <x v="872"/>
    <s v="Germany"/>
    <s v="Berlin"/>
    <s v="Customer_633"/>
    <x v="6"/>
    <s v="Dark Chocolate"/>
    <s v="SweetNuts"/>
    <n v="388"/>
    <n v="406"/>
    <n v="157528"/>
    <x v="3"/>
  </r>
  <r>
    <s v="ORD1873"/>
    <x v="873"/>
    <s v="Australia"/>
    <s v="Brisbane"/>
    <s v="Customer_674"/>
    <x v="3"/>
    <s v="Milk Chocolate"/>
    <s v="TruffleBite"/>
    <n v="219"/>
    <n v="353"/>
    <n v="77307"/>
    <x v="0"/>
  </r>
  <r>
    <s v="ORD1874"/>
    <x v="874"/>
    <s v="Germany"/>
    <s v="Frankfurt"/>
    <s v="Customer_763"/>
    <x v="6"/>
    <s v="Dark Chocolate"/>
    <s v="Silk"/>
    <n v="205"/>
    <n v="184"/>
    <n v="37720"/>
    <x v="3"/>
  </r>
  <r>
    <s v="ORD1875"/>
    <x v="875"/>
    <s v="Australia"/>
    <s v="Brisbane"/>
    <s v="Customer_941"/>
    <x v="6"/>
    <s v="Dark Chocolate"/>
    <s v="CrunchyJoy"/>
    <n v="378"/>
    <n v="492"/>
    <n v="185976"/>
    <x v="1"/>
  </r>
  <r>
    <s v="ORD1876"/>
    <x v="876"/>
    <s v="Australia"/>
    <s v="Sydney"/>
    <s v="Customer_371"/>
    <x v="7"/>
    <s v="Nutty Delight"/>
    <s v="CocoaTreat"/>
    <n v="107"/>
    <n v="118"/>
    <n v="12626"/>
    <x v="2"/>
  </r>
  <r>
    <s v="ORD1877"/>
    <x v="877"/>
    <s v="Canada"/>
    <s v="Toronto"/>
    <s v="Customer_532"/>
    <x v="4"/>
    <s v="Premium Truffle"/>
    <s v="CocoaTreat"/>
    <n v="102"/>
    <n v="60"/>
    <n v="6120"/>
    <x v="2"/>
  </r>
  <r>
    <s v="ORD1878"/>
    <x v="878"/>
    <s v="UK"/>
    <s v="Birmingham"/>
    <s v="Customer_923"/>
    <x v="0"/>
    <s v="Milk Chocolate"/>
    <s v="SweetNuts"/>
    <n v="481"/>
    <n v="192"/>
    <n v="92352"/>
    <x v="2"/>
  </r>
  <r>
    <s v="ORD1879"/>
    <x v="879"/>
    <s v="Australia"/>
    <s v="Perth"/>
    <s v="Customer_240"/>
    <x v="0"/>
    <s v="Nutty Delight"/>
    <s v="CrunchyJoy"/>
    <n v="31"/>
    <n v="241"/>
    <n v="7471"/>
    <x v="2"/>
  </r>
  <r>
    <s v="ORD1880"/>
    <x v="880"/>
    <s v="Canada"/>
    <s v="Calgary"/>
    <s v="Customer_332"/>
    <x v="6"/>
    <s v="Dark Chocolate"/>
    <s v="CocoaTreat"/>
    <n v="459"/>
    <n v="436"/>
    <n v="200124"/>
    <x v="0"/>
  </r>
  <r>
    <s v="ORD1881"/>
    <x v="881"/>
    <s v="USA"/>
    <s v="Los Angeles"/>
    <s v="Customer_564"/>
    <x v="8"/>
    <s v="Dark Chocolate"/>
    <s v="CrunchyJoy"/>
    <n v="181"/>
    <n v="427"/>
    <n v="77287"/>
    <x v="0"/>
  </r>
  <r>
    <s v="ORD1882"/>
    <x v="882"/>
    <s v="UK"/>
    <s v="Birmingham"/>
    <s v="Customer_444"/>
    <x v="7"/>
    <s v="Premium Truffle"/>
    <s v="MilkyBar"/>
    <n v="392"/>
    <n v="118"/>
    <n v="46256"/>
    <x v="3"/>
  </r>
  <r>
    <s v="ORD1883"/>
    <x v="883"/>
    <s v="Australia"/>
    <s v="Melbourne"/>
    <s v="Customer_581"/>
    <x v="6"/>
    <s v="Milk Chocolate"/>
    <s v="DarkMagic"/>
    <n v="143"/>
    <n v="72"/>
    <n v="10296"/>
    <x v="0"/>
  </r>
  <r>
    <s v="ORD1884"/>
    <x v="884"/>
    <s v="UAE"/>
    <s v="Abu Dhabi"/>
    <s v="Customer_861"/>
    <x v="5"/>
    <s v="Milk Chocolate"/>
    <s v="Silk"/>
    <n v="435"/>
    <n v="230"/>
    <n v="100050"/>
    <x v="1"/>
  </r>
  <r>
    <s v="ORD1885"/>
    <x v="885"/>
    <s v="India"/>
    <s v="Bangalore"/>
    <s v="Customer_639"/>
    <x v="3"/>
    <s v="White Chocolate"/>
    <s v="CrunchyJoy"/>
    <n v="34"/>
    <n v="342"/>
    <n v="11628"/>
    <x v="1"/>
  </r>
  <r>
    <s v="ORD1886"/>
    <x v="886"/>
    <s v="USA"/>
    <s v="Chicago"/>
    <s v="Customer_332"/>
    <x v="4"/>
    <s v="Milk Chocolate"/>
    <s v="ChocoLuxe"/>
    <n v="194"/>
    <n v="58"/>
    <n v="11252"/>
    <x v="2"/>
  </r>
  <r>
    <s v="ORD1887"/>
    <x v="887"/>
    <s v="USA"/>
    <s v="Chicago"/>
    <s v="Customer_793"/>
    <x v="9"/>
    <s v="Premium Truffle"/>
    <s v="TruffleBite"/>
    <n v="94"/>
    <n v="320"/>
    <n v="30080"/>
    <x v="1"/>
  </r>
  <r>
    <s v="ORD1888"/>
    <x v="888"/>
    <s v="Canada"/>
    <s v="Toronto"/>
    <s v="Customer_447"/>
    <x v="5"/>
    <s v="White Chocolate"/>
    <s v="ChocoLuxe"/>
    <n v="64"/>
    <n v="436"/>
    <n v="27904"/>
    <x v="3"/>
  </r>
  <r>
    <s v="ORD1889"/>
    <x v="889"/>
    <s v="USA"/>
    <s v="Houston"/>
    <s v="Customer_195"/>
    <x v="8"/>
    <s v="White Chocolate"/>
    <s v="CocoaTreat"/>
    <n v="260"/>
    <n v="142"/>
    <n v="36920"/>
    <x v="0"/>
  </r>
  <r>
    <s v="ORD1890"/>
    <x v="890"/>
    <s v="UK"/>
    <s v="Liverpool"/>
    <s v="Customer_769"/>
    <x v="2"/>
    <s v="Dark Chocolate"/>
    <s v="MilkyBar"/>
    <n v="153"/>
    <n v="66"/>
    <n v="10098"/>
    <x v="0"/>
  </r>
  <r>
    <s v="ORD1891"/>
    <x v="891"/>
    <s v="Australia"/>
    <s v="Perth"/>
    <s v="Customer_861"/>
    <x v="2"/>
    <s v="Dark Chocolate"/>
    <s v="MilkyBar"/>
    <n v="360"/>
    <n v="203"/>
    <n v="73080"/>
    <x v="0"/>
  </r>
  <r>
    <s v="ORD1892"/>
    <x v="892"/>
    <s v="Australia"/>
    <s v="Sydney"/>
    <s v="Customer_993"/>
    <x v="5"/>
    <s v="Milk Chocolate"/>
    <s v="ChocoLuxe"/>
    <n v="407"/>
    <n v="454"/>
    <n v="184778"/>
    <x v="1"/>
  </r>
  <r>
    <s v="ORD1893"/>
    <x v="893"/>
    <s v="UAE"/>
    <s v="Dubai"/>
    <s v="Customer_679"/>
    <x v="6"/>
    <s v="White Chocolate"/>
    <s v="Silk"/>
    <n v="176"/>
    <n v="377"/>
    <n v="66352"/>
    <x v="0"/>
  </r>
  <r>
    <s v="ORD1894"/>
    <x v="894"/>
    <s v="India"/>
    <s v="Chennai"/>
    <s v="Customer_566"/>
    <x v="9"/>
    <s v="Dark Chocolate"/>
    <s v="ChocoLuxe"/>
    <n v="421"/>
    <n v="198"/>
    <n v="83358"/>
    <x v="2"/>
  </r>
  <r>
    <s v="ORD1895"/>
    <x v="895"/>
    <s v="Canada"/>
    <s v="Montreal"/>
    <s v="Customer_496"/>
    <x v="1"/>
    <s v="Premium Truffle"/>
    <s v="SweetNuts"/>
    <n v="233"/>
    <n v="426"/>
    <n v="99258"/>
    <x v="2"/>
  </r>
  <r>
    <s v="ORD1896"/>
    <x v="896"/>
    <s v="India"/>
    <s v="Hyderabad"/>
    <s v="Customer_102"/>
    <x v="1"/>
    <s v="Dark Chocolate"/>
    <s v="CocoaTreat"/>
    <n v="229"/>
    <n v="316"/>
    <n v="72364"/>
    <x v="2"/>
  </r>
  <r>
    <s v="ORD1897"/>
    <x v="897"/>
    <s v="USA"/>
    <s v="Chicago"/>
    <s v="Customer_567"/>
    <x v="8"/>
    <s v="Dark Chocolate"/>
    <s v="CocoaTreat"/>
    <n v="188"/>
    <n v="471"/>
    <n v="88548"/>
    <x v="1"/>
  </r>
  <r>
    <s v="ORD1898"/>
    <x v="898"/>
    <s v="UAE"/>
    <s v="Dubai"/>
    <s v="Customer_308"/>
    <x v="6"/>
    <s v="White Chocolate"/>
    <s v="ChocoLuxe"/>
    <n v="128"/>
    <n v="377"/>
    <n v="48256"/>
    <x v="0"/>
  </r>
  <r>
    <s v="ORD1899"/>
    <x v="899"/>
    <s v="India"/>
    <s v="Chennai"/>
    <s v="Customer_679"/>
    <x v="0"/>
    <s v="White Chocolate"/>
    <s v="TruffleBite"/>
    <n v="442"/>
    <n v="155"/>
    <n v="68510"/>
    <x v="1"/>
  </r>
  <r>
    <s v="ORD1900"/>
    <x v="900"/>
    <s v="UK"/>
    <s v="Birmingham"/>
    <s v="Customer_633"/>
    <x v="0"/>
    <s v="Nutty Delight"/>
    <s v="TruffleBite"/>
    <n v="274"/>
    <n v="430"/>
    <n v="117820"/>
    <x v="0"/>
  </r>
  <r>
    <s v="ORD1901"/>
    <x v="901"/>
    <s v="Australia"/>
    <s v="Brisbane"/>
    <s v="Customer_425"/>
    <x v="4"/>
    <s v="Premium Truffle"/>
    <s v="CocoaTreat"/>
    <n v="451"/>
    <n v="84"/>
    <n v="37884"/>
    <x v="3"/>
  </r>
  <r>
    <s v="ORD1902"/>
    <x v="902"/>
    <s v="USA"/>
    <s v="New York"/>
    <s v="Customer_312"/>
    <x v="9"/>
    <s v="White Chocolate"/>
    <s v="DarkMagic"/>
    <n v="438"/>
    <n v="168"/>
    <n v="73584"/>
    <x v="3"/>
  </r>
  <r>
    <s v="ORD1903"/>
    <x v="903"/>
    <s v="UAE"/>
    <s v="Abu Dhabi"/>
    <s v="Customer_783"/>
    <x v="9"/>
    <s v="Milk Chocolate"/>
    <s v="TruffleBite"/>
    <n v="159"/>
    <n v="63"/>
    <n v="10017"/>
    <x v="1"/>
  </r>
  <r>
    <s v="ORD1904"/>
    <x v="904"/>
    <s v="India"/>
    <s v="Hyderabad"/>
    <s v="Customer_312"/>
    <x v="2"/>
    <s v="Premium Truffle"/>
    <s v="ChocoLuxe"/>
    <n v="425"/>
    <n v="63"/>
    <n v="26775"/>
    <x v="2"/>
  </r>
  <r>
    <s v="ORD1905"/>
    <x v="905"/>
    <s v="Canada"/>
    <s v="Vancouver"/>
    <s v="Customer_514"/>
    <x v="7"/>
    <s v="Premium Truffle"/>
    <s v="TruffleBite"/>
    <n v="462"/>
    <n v="315"/>
    <n v="145530"/>
    <x v="1"/>
  </r>
  <r>
    <s v="ORD1906"/>
    <x v="906"/>
    <s v="UK"/>
    <s v="Birmingham"/>
    <s v="Customer_231"/>
    <x v="8"/>
    <s v="White Chocolate"/>
    <s v="CocoaTreat"/>
    <n v="224"/>
    <n v="189"/>
    <n v="42336"/>
    <x v="2"/>
  </r>
  <r>
    <s v="ORD1907"/>
    <x v="907"/>
    <s v="UK"/>
    <s v="Manchester"/>
    <s v="Customer_348"/>
    <x v="1"/>
    <s v="Premium Truffle"/>
    <s v="Silk"/>
    <n v="206"/>
    <n v="343"/>
    <n v="70658"/>
    <x v="0"/>
  </r>
  <r>
    <s v="ORD1908"/>
    <x v="908"/>
    <s v="India"/>
    <s v="Chennai"/>
    <s v="Customer_862"/>
    <x v="8"/>
    <s v="White Chocolate"/>
    <s v="CrunchyJoy"/>
    <n v="51"/>
    <n v="413"/>
    <n v="21063"/>
    <x v="2"/>
  </r>
  <r>
    <s v="ORD1909"/>
    <x v="909"/>
    <s v="Australia"/>
    <s v="Brisbane"/>
    <s v="Customer_798"/>
    <x v="0"/>
    <s v="Dark Chocolate"/>
    <s v="TruffleBite"/>
    <n v="62"/>
    <n v="168"/>
    <n v="10416"/>
    <x v="2"/>
  </r>
  <r>
    <s v="ORD1910"/>
    <x v="910"/>
    <s v="India"/>
    <s v="Mumbai"/>
    <s v="Customer_875"/>
    <x v="0"/>
    <s v="Nutty Delight"/>
    <s v="SweetNuts"/>
    <n v="489"/>
    <n v="287"/>
    <n v="140343"/>
    <x v="0"/>
  </r>
  <r>
    <s v="ORD1911"/>
    <x v="911"/>
    <s v="USA"/>
    <s v="New York"/>
    <s v="Customer_129"/>
    <x v="5"/>
    <s v="Dark Chocolate"/>
    <s v="Silk"/>
    <n v="452"/>
    <n v="83"/>
    <n v="37516"/>
    <x v="3"/>
  </r>
  <r>
    <s v="ORD1912"/>
    <x v="912"/>
    <s v="India"/>
    <s v="Hyderabad"/>
    <s v="Customer_730"/>
    <x v="4"/>
    <s v="White Chocolate"/>
    <s v="DarkMagic"/>
    <n v="339"/>
    <n v="218"/>
    <n v="73902"/>
    <x v="0"/>
  </r>
  <r>
    <s v="ORD1913"/>
    <x v="913"/>
    <s v="UK"/>
    <s v="Manchester"/>
    <s v="Customer_937"/>
    <x v="9"/>
    <s v="White Chocolate"/>
    <s v="SweetNuts"/>
    <n v="260"/>
    <n v="59"/>
    <n v="15340"/>
    <x v="1"/>
  </r>
  <r>
    <s v="ORD1914"/>
    <x v="914"/>
    <s v="UAE"/>
    <s v="Sharjah"/>
    <s v="Customer_624"/>
    <x v="3"/>
    <s v="Dark Chocolate"/>
    <s v="ChocoLuxe"/>
    <n v="304"/>
    <n v="171"/>
    <n v="51984"/>
    <x v="1"/>
  </r>
  <r>
    <s v="ORD1915"/>
    <x v="915"/>
    <s v="India"/>
    <s v="Hyderabad"/>
    <s v="Customer_633"/>
    <x v="8"/>
    <s v="Milk Chocolate"/>
    <s v="CrunchyJoy"/>
    <n v="387"/>
    <n v="450"/>
    <n v="174150"/>
    <x v="1"/>
  </r>
  <r>
    <s v="ORD1916"/>
    <x v="916"/>
    <s v="Australia"/>
    <s v="Perth"/>
    <s v="Customer_976"/>
    <x v="0"/>
    <s v="Milk Chocolate"/>
    <s v="ChocoLuxe"/>
    <n v="280"/>
    <n v="194"/>
    <n v="54320"/>
    <x v="1"/>
  </r>
  <r>
    <s v="ORD1917"/>
    <x v="917"/>
    <s v="UAE"/>
    <s v="Sharjah"/>
    <s v="Customer_901"/>
    <x v="7"/>
    <s v="Milk Chocolate"/>
    <s v="CrunchyJoy"/>
    <n v="464"/>
    <n v="495"/>
    <n v="229680"/>
    <x v="1"/>
  </r>
  <r>
    <s v="ORD1918"/>
    <x v="918"/>
    <s v="Canada"/>
    <s v="Calgary"/>
    <s v="Customer_662"/>
    <x v="2"/>
    <s v="White Chocolate"/>
    <s v="CrunchyJoy"/>
    <n v="422"/>
    <n v="272"/>
    <n v="114784"/>
    <x v="3"/>
  </r>
  <r>
    <s v="ORD1919"/>
    <x v="919"/>
    <s v="Germany"/>
    <s v="Hamburg"/>
    <s v="Customer_208"/>
    <x v="1"/>
    <s v="Premium Truffle"/>
    <s v="ChocoLuxe"/>
    <n v="132"/>
    <n v="420"/>
    <n v="55440"/>
    <x v="3"/>
  </r>
  <r>
    <s v="ORD1920"/>
    <x v="920"/>
    <s v="India"/>
    <s v="Mumbai"/>
    <s v="Customer_479"/>
    <x v="4"/>
    <s v="White Chocolate"/>
    <s v="SweetNuts"/>
    <n v="376"/>
    <n v="306"/>
    <n v="115056"/>
    <x v="2"/>
  </r>
  <r>
    <s v="ORD1921"/>
    <x v="921"/>
    <s v="Australia"/>
    <s v="Sydney"/>
    <s v="Customer_923"/>
    <x v="7"/>
    <s v="Premium Truffle"/>
    <s v="SweetNuts"/>
    <n v="396"/>
    <n v="317"/>
    <n v="125532"/>
    <x v="1"/>
  </r>
  <r>
    <s v="ORD1922"/>
    <x v="922"/>
    <s v="UAE"/>
    <s v="Dubai"/>
    <s v="Customer_724"/>
    <x v="4"/>
    <s v="Dark Chocolate"/>
    <s v="CrunchyJoy"/>
    <n v="348"/>
    <n v="408"/>
    <n v="141984"/>
    <x v="0"/>
  </r>
  <r>
    <s v="ORD1923"/>
    <x v="923"/>
    <s v="Australia"/>
    <s v="Sydney"/>
    <s v="Customer_469"/>
    <x v="5"/>
    <s v="Nutty Delight"/>
    <s v="SweetNuts"/>
    <n v="275"/>
    <n v="53"/>
    <n v="14575"/>
    <x v="1"/>
  </r>
  <r>
    <s v="ORD1924"/>
    <x v="924"/>
    <s v="Canada"/>
    <s v="Calgary"/>
    <s v="Customer_191"/>
    <x v="3"/>
    <s v="Premium Truffle"/>
    <s v="CrunchyJoy"/>
    <n v="357"/>
    <n v="475"/>
    <n v="169575"/>
    <x v="3"/>
  </r>
  <r>
    <s v="ORD1925"/>
    <x v="925"/>
    <s v="UK"/>
    <s v="Birmingham"/>
    <s v="Customer_520"/>
    <x v="0"/>
    <s v="Milk Chocolate"/>
    <s v="CocoaTreat"/>
    <n v="38"/>
    <n v="446"/>
    <n v="16948"/>
    <x v="1"/>
  </r>
  <r>
    <s v="ORD1926"/>
    <x v="926"/>
    <s v="Australia"/>
    <s v="Brisbane"/>
    <s v="Customer_146"/>
    <x v="2"/>
    <s v="White Chocolate"/>
    <s v="CrunchyJoy"/>
    <n v="472"/>
    <n v="403"/>
    <n v="190216"/>
    <x v="3"/>
  </r>
  <r>
    <s v="ORD1927"/>
    <x v="927"/>
    <s v="UAE"/>
    <s v="Abu Dhabi"/>
    <s v="Customer_750"/>
    <x v="7"/>
    <s v="Dark Chocolate"/>
    <s v="CocoaTreat"/>
    <n v="44"/>
    <n v="155"/>
    <n v="6820"/>
    <x v="2"/>
  </r>
  <r>
    <s v="ORD1928"/>
    <x v="928"/>
    <s v="Australia"/>
    <s v="Melbourne"/>
    <s v="Customer_100"/>
    <x v="4"/>
    <s v="Milk Chocolate"/>
    <s v="Silk"/>
    <n v="15"/>
    <n v="134"/>
    <n v="2010"/>
    <x v="2"/>
  </r>
  <r>
    <s v="ORD1929"/>
    <x v="929"/>
    <s v="Australia"/>
    <s v="Perth"/>
    <s v="Customer_892"/>
    <x v="9"/>
    <s v="Dark Chocolate"/>
    <s v="MilkyBar"/>
    <n v="405"/>
    <n v="263"/>
    <n v="106515"/>
    <x v="2"/>
  </r>
  <r>
    <s v="ORD1930"/>
    <x v="930"/>
    <s v="Australia"/>
    <s v="Brisbane"/>
    <s v="Customer_848"/>
    <x v="5"/>
    <s v="Nutty Delight"/>
    <s v="Silk"/>
    <n v="120"/>
    <n v="170"/>
    <n v="20400"/>
    <x v="3"/>
  </r>
  <r>
    <s v="ORD1931"/>
    <x v="931"/>
    <s v="USA"/>
    <s v="Chicago"/>
    <s v="Customer_866"/>
    <x v="9"/>
    <s v="White Chocolate"/>
    <s v="ChocoLuxe"/>
    <n v="303"/>
    <n v="181"/>
    <n v="54843"/>
    <x v="1"/>
  </r>
  <r>
    <s v="ORD1932"/>
    <x v="932"/>
    <s v="USA"/>
    <s v="San Francisco"/>
    <s v="Customer_252"/>
    <x v="2"/>
    <s v="White Chocolate"/>
    <s v="MilkyBar"/>
    <n v="86"/>
    <n v="387"/>
    <n v="33282"/>
    <x v="1"/>
  </r>
  <r>
    <s v="ORD1933"/>
    <x v="933"/>
    <s v="UK"/>
    <s v="Liverpool"/>
    <s v="Customer_803"/>
    <x v="7"/>
    <s v="Nutty Delight"/>
    <s v="TruffleBite"/>
    <n v="358"/>
    <n v="246"/>
    <n v="88068"/>
    <x v="0"/>
  </r>
  <r>
    <s v="ORD1934"/>
    <x v="934"/>
    <s v="India"/>
    <s v="Hyderabad"/>
    <s v="Customer_770"/>
    <x v="5"/>
    <s v="White Chocolate"/>
    <s v="ChocoLuxe"/>
    <n v="156"/>
    <n v="68"/>
    <n v="10608"/>
    <x v="3"/>
  </r>
  <r>
    <s v="ORD1935"/>
    <x v="935"/>
    <s v="Australia"/>
    <s v="Sydney"/>
    <s v="Customer_238"/>
    <x v="7"/>
    <s v="Premium Truffle"/>
    <s v="DarkMagic"/>
    <n v="76"/>
    <n v="179"/>
    <n v="13604"/>
    <x v="0"/>
  </r>
  <r>
    <s v="ORD1936"/>
    <x v="936"/>
    <s v="Canada"/>
    <s v="Calgary"/>
    <s v="Customer_480"/>
    <x v="0"/>
    <s v="Dark Chocolate"/>
    <s v="Silk"/>
    <n v="401"/>
    <n v="61"/>
    <n v="24461"/>
    <x v="2"/>
  </r>
  <r>
    <s v="ORD1937"/>
    <x v="937"/>
    <s v="India"/>
    <s v="Hyderabad"/>
    <s v="Customer_857"/>
    <x v="6"/>
    <s v="Milk Chocolate"/>
    <s v="SweetNuts"/>
    <n v="17"/>
    <n v="130"/>
    <n v="2210"/>
    <x v="1"/>
  </r>
  <r>
    <s v="ORD1938"/>
    <x v="938"/>
    <s v="Canada"/>
    <s v="Vancouver"/>
    <s v="Customer_668"/>
    <x v="5"/>
    <s v="Nutty Delight"/>
    <s v="Silk"/>
    <n v="131"/>
    <n v="379"/>
    <n v="49649"/>
    <x v="3"/>
  </r>
  <r>
    <s v="ORD1939"/>
    <x v="939"/>
    <s v="India"/>
    <s v="Bangalore"/>
    <s v="Customer_927"/>
    <x v="9"/>
    <s v="Premium Truffle"/>
    <s v="SweetNuts"/>
    <n v="349"/>
    <n v="403"/>
    <n v="140647"/>
    <x v="0"/>
  </r>
  <r>
    <s v="ORD1940"/>
    <x v="940"/>
    <s v="UK"/>
    <s v="Liverpool"/>
    <s v="Customer_427"/>
    <x v="2"/>
    <s v="Milk Chocolate"/>
    <s v="MilkyBar"/>
    <n v="184"/>
    <n v="311"/>
    <n v="57224"/>
    <x v="0"/>
  </r>
  <r>
    <s v="ORD1941"/>
    <x v="941"/>
    <s v="Australia"/>
    <s v="Melbourne"/>
    <s v="Customer_742"/>
    <x v="3"/>
    <s v="Milk Chocolate"/>
    <s v="DarkMagic"/>
    <n v="397"/>
    <n v="441"/>
    <n v="175077"/>
    <x v="0"/>
  </r>
  <r>
    <s v="ORD1942"/>
    <x v="942"/>
    <s v="Australia"/>
    <s v="Brisbane"/>
    <s v="Customer_267"/>
    <x v="0"/>
    <s v="Nutty Delight"/>
    <s v="MilkyBar"/>
    <n v="188"/>
    <n v="174"/>
    <n v="32712"/>
    <x v="1"/>
  </r>
  <r>
    <s v="ORD1943"/>
    <x v="943"/>
    <s v="Germany"/>
    <s v="Berlin"/>
    <s v="Customer_794"/>
    <x v="6"/>
    <s v="Premium Truffle"/>
    <s v="DarkMagic"/>
    <n v="94"/>
    <n v="356"/>
    <n v="33464"/>
    <x v="1"/>
  </r>
  <r>
    <s v="ORD1944"/>
    <x v="944"/>
    <s v="Canada"/>
    <s v="Vancouver"/>
    <s v="Customer_779"/>
    <x v="3"/>
    <s v="Milk Chocolate"/>
    <s v="Silk"/>
    <n v="460"/>
    <n v="316"/>
    <n v="145360"/>
    <x v="1"/>
  </r>
  <r>
    <s v="ORD1945"/>
    <x v="945"/>
    <s v="India"/>
    <s v="Mumbai"/>
    <s v="Customer_584"/>
    <x v="1"/>
    <s v="Milk Chocolate"/>
    <s v="SweetNuts"/>
    <n v="54"/>
    <n v="496"/>
    <n v="26784"/>
    <x v="3"/>
  </r>
  <r>
    <s v="ORD1946"/>
    <x v="946"/>
    <s v="India"/>
    <s v="Hyderabad"/>
    <s v="Customer_658"/>
    <x v="0"/>
    <s v="Premium Truffle"/>
    <s v="MilkyBar"/>
    <n v="145"/>
    <n v="490"/>
    <n v="71050"/>
    <x v="1"/>
  </r>
  <r>
    <s v="ORD1947"/>
    <x v="947"/>
    <s v="USA"/>
    <s v="Houston"/>
    <s v="Customer_944"/>
    <x v="2"/>
    <s v="White Chocolate"/>
    <s v="DarkMagic"/>
    <n v="352"/>
    <n v="432"/>
    <n v="152064"/>
    <x v="3"/>
  </r>
  <r>
    <s v="ORD1948"/>
    <x v="948"/>
    <s v="Germany"/>
    <s v="Hamburg"/>
    <s v="Customer_602"/>
    <x v="4"/>
    <s v="Milk Chocolate"/>
    <s v="CrunchyJoy"/>
    <n v="25"/>
    <n v="189"/>
    <n v="4725"/>
    <x v="0"/>
  </r>
  <r>
    <s v="ORD1949"/>
    <x v="949"/>
    <s v="UAE"/>
    <s v="Dubai"/>
    <s v="Customer_972"/>
    <x v="5"/>
    <s v="Dark Chocolate"/>
    <s v="ChocoLuxe"/>
    <n v="342"/>
    <n v="378"/>
    <n v="129276"/>
    <x v="0"/>
  </r>
  <r>
    <s v="ORD1950"/>
    <x v="950"/>
    <s v="UAE"/>
    <s v="Abu Dhabi"/>
    <s v="Customer_661"/>
    <x v="7"/>
    <s v="Premium Truffle"/>
    <s v="ChocoLuxe"/>
    <n v="204"/>
    <n v="51"/>
    <n v="10404"/>
    <x v="2"/>
  </r>
  <r>
    <s v="ORD1951"/>
    <x v="951"/>
    <s v="USA"/>
    <s v="New York"/>
    <s v="Customer_357"/>
    <x v="2"/>
    <s v="Milk Chocolate"/>
    <s v="MilkyBar"/>
    <n v="18"/>
    <n v="57"/>
    <n v="1026"/>
    <x v="1"/>
  </r>
  <r>
    <s v="ORD1952"/>
    <x v="952"/>
    <s v="USA"/>
    <s v="Houston"/>
    <s v="Customer_374"/>
    <x v="5"/>
    <s v="Nutty Delight"/>
    <s v="SweetNuts"/>
    <n v="325"/>
    <n v="299"/>
    <n v="97175"/>
    <x v="0"/>
  </r>
  <r>
    <s v="ORD1953"/>
    <x v="953"/>
    <s v="USA"/>
    <s v="San Francisco"/>
    <s v="Customer_298"/>
    <x v="3"/>
    <s v="Dark Chocolate"/>
    <s v="CrunchyJoy"/>
    <n v="343"/>
    <n v="188"/>
    <n v="64484"/>
    <x v="1"/>
  </r>
  <r>
    <s v="ORD1954"/>
    <x v="954"/>
    <s v="Canada"/>
    <s v="Toronto"/>
    <s v="Customer_769"/>
    <x v="7"/>
    <s v="Milk Chocolate"/>
    <s v="MilkyBar"/>
    <n v="342"/>
    <n v="173"/>
    <n v="59166"/>
    <x v="3"/>
  </r>
  <r>
    <s v="ORD1955"/>
    <x v="955"/>
    <s v="Canada"/>
    <s v="Vancouver"/>
    <s v="Customer_141"/>
    <x v="8"/>
    <s v="Dark Chocolate"/>
    <s v="Silk"/>
    <n v="336"/>
    <n v="358"/>
    <n v="120288"/>
    <x v="0"/>
  </r>
  <r>
    <s v="ORD1956"/>
    <x v="956"/>
    <s v="UK"/>
    <s v="Liverpool"/>
    <s v="Customer_588"/>
    <x v="9"/>
    <s v="Dark Chocolate"/>
    <s v="DarkMagic"/>
    <n v="24"/>
    <n v="277"/>
    <n v="6648"/>
    <x v="1"/>
  </r>
  <r>
    <s v="ORD1957"/>
    <x v="957"/>
    <s v="UK"/>
    <s v="Liverpool"/>
    <s v="Customer_426"/>
    <x v="1"/>
    <s v="White Chocolate"/>
    <s v="CocoaTreat"/>
    <n v="336"/>
    <n v="59"/>
    <n v="19824"/>
    <x v="0"/>
  </r>
  <r>
    <s v="ORD1958"/>
    <x v="958"/>
    <s v="USA"/>
    <s v="Chicago"/>
    <s v="Customer_919"/>
    <x v="0"/>
    <s v="Dark Chocolate"/>
    <s v="Silk"/>
    <n v="111"/>
    <n v="261"/>
    <n v="28971"/>
    <x v="0"/>
  </r>
  <r>
    <s v="ORD1959"/>
    <x v="959"/>
    <s v="Germany"/>
    <s v="Hamburg"/>
    <s v="Customer_263"/>
    <x v="2"/>
    <s v="White Chocolate"/>
    <s v="ChocoLuxe"/>
    <n v="235"/>
    <n v="161"/>
    <n v="37835"/>
    <x v="1"/>
  </r>
  <r>
    <s v="ORD1960"/>
    <x v="960"/>
    <s v="India"/>
    <s v="Chennai"/>
    <s v="Customer_858"/>
    <x v="1"/>
    <s v="Premium Truffle"/>
    <s v="DarkMagic"/>
    <n v="434"/>
    <n v="57"/>
    <n v="24738"/>
    <x v="0"/>
  </r>
  <r>
    <s v="ORD1961"/>
    <x v="961"/>
    <s v="Canada"/>
    <s v="Toronto"/>
    <s v="Customer_134"/>
    <x v="4"/>
    <s v="White Chocolate"/>
    <s v="MilkyBar"/>
    <n v="287"/>
    <n v="341"/>
    <n v="97867"/>
    <x v="0"/>
  </r>
  <r>
    <s v="ORD1962"/>
    <x v="962"/>
    <s v="Germany"/>
    <s v="Hamburg"/>
    <s v="Customer_514"/>
    <x v="5"/>
    <s v="Nutty Delight"/>
    <s v="Silk"/>
    <n v="417"/>
    <n v="411"/>
    <n v="171387"/>
    <x v="0"/>
  </r>
  <r>
    <s v="ORD1963"/>
    <x v="963"/>
    <s v="Australia"/>
    <s v="Sydney"/>
    <s v="Customer_779"/>
    <x v="5"/>
    <s v="Milk Chocolate"/>
    <s v="TruffleBite"/>
    <n v="122"/>
    <n v="302"/>
    <n v="36844"/>
    <x v="0"/>
  </r>
  <r>
    <s v="ORD1964"/>
    <x v="964"/>
    <s v="Canada"/>
    <s v="Vancouver"/>
    <s v="Customer_669"/>
    <x v="2"/>
    <s v="Premium Truffle"/>
    <s v="CocoaTreat"/>
    <n v="494"/>
    <n v="63"/>
    <n v="31122"/>
    <x v="3"/>
  </r>
  <r>
    <s v="ORD1965"/>
    <x v="965"/>
    <s v="Canada"/>
    <s v="Vancouver"/>
    <s v="Customer_522"/>
    <x v="6"/>
    <s v="Premium Truffle"/>
    <s v="SweetNuts"/>
    <n v="437"/>
    <n v="289"/>
    <n v="126293"/>
    <x v="0"/>
  </r>
  <r>
    <s v="ORD1966"/>
    <x v="966"/>
    <s v="UK"/>
    <s v="Liverpool"/>
    <s v="Customer_855"/>
    <x v="6"/>
    <s v="Nutty Delight"/>
    <s v="CrunchyJoy"/>
    <n v="10"/>
    <n v="487"/>
    <n v="4870"/>
    <x v="2"/>
  </r>
  <r>
    <s v="ORD1967"/>
    <x v="967"/>
    <s v="India"/>
    <s v="Delhi"/>
    <s v="Customer_764"/>
    <x v="8"/>
    <s v="White Chocolate"/>
    <s v="CrunchyJoy"/>
    <n v="275"/>
    <n v="291"/>
    <n v="80025"/>
    <x v="0"/>
  </r>
  <r>
    <s v="ORD1968"/>
    <x v="968"/>
    <s v="India"/>
    <s v="Bangalore"/>
    <s v="Customer_322"/>
    <x v="9"/>
    <s v="Milk Chocolate"/>
    <s v="SweetNuts"/>
    <n v="217"/>
    <n v="391"/>
    <n v="84847"/>
    <x v="1"/>
  </r>
  <r>
    <s v="ORD1969"/>
    <x v="969"/>
    <s v="UAE"/>
    <s v="Dubai"/>
    <s v="Customer_588"/>
    <x v="7"/>
    <s v="White Chocolate"/>
    <s v="TruffleBite"/>
    <n v="119"/>
    <n v="198"/>
    <n v="23562"/>
    <x v="2"/>
  </r>
  <r>
    <s v="ORD1970"/>
    <x v="970"/>
    <s v="UAE"/>
    <s v="Dubai"/>
    <s v="Customer_344"/>
    <x v="4"/>
    <s v="Dark Chocolate"/>
    <s v="ChocoLuxe"/>
    <n v="209"/>
    <n v="285"/>
    <n v="59565"/>
    <x v="3"/>
  </r>
  <r>
    <s v="ORD1971"/>
    <x v="971"/>
    <s v="UAE"/>
    <s v="Dubai"/>
    <s v="Customer_880"/>
    <x v="1"/>
    <s v="White Chocolate"/>
    <s v="DarkMagic"/>
    <n v="449"/>
    <n v="355"/>
    <n v="159395"/>
    <x v="2"/>
  </r>
  <r>
    <s v="ORD1972"/>
    <x v="972"/>
    <s v="UAE"/>
    <s v="Abu Dhabi"/>
    <s v="Customer_467"/>
    <x v="6"/>
    <s v="Premium Truffle"/>
    <s v="SweetNuts"/>
    <n v="378"/>
    <n v="216"/>
    <n v="81648"/>
    <x v="2"/>
  </r>
  <r>
    <s v="ORD1973"/>
    <x v="973"/>
    <s v="Australia"/>
    <s v="Sydney"/>
    <s v="Customer_576"/>
    <x v="8"/>
    <s v="Milk Chocolate"/>
    <s v="TruffleBite"/>
    <n v="482"/>
    <n v="69"/>
    <n v="33258"/>
    <x v="2"/>
  </r>
  <r>
    <s v="ORD1974"/>
    <x v="974"/>
    <s v="Australia"/>
    <s v="Perth"/>
    <s v="Customer_488"/>
    <x v="8"/>
    <s v="White Chocolate"/>
    <s v="MilkyBar"/>
    <n v="315"/>
    <n v="265"/>
    <n v="83475"/>
    <x v="1"/>
  </r>
  <r>
    <s v="ORD1975"/>
    <x v="975"/>
    <s v="Canada"/>
    <s v="Montreal"/>
    <s v="Customer_931"/>
    <x v="2"/>
    <s v="Milk Chocolate"/>
    <s v="CocoaTreat"/>
    <n v="21"/>
    <n v="392"/>
    <n v="8232"/>
    <x v="1"/>
  </r>
  <r>
    <s v="ORD1976"/>
    <x v="976"/>
    <s v="USA"/>
    <s v="Chicago"/>
    <s v="Customer_494"/>
    <x v="4"/>
    <s v="Milk Chocolate"/>
    <s v="CrunchyJoy"/>
    <n v="354"/>
    <n v="184"/>
    <n v="65136"/>
    <x v="1"/>
  </r>
  <r>
    <s v="ORD1977"/>
    <x v="977"/>
    <s v="UK"/>
    <s v="Liverpool"/>
    <s v="Customer_979"/>
    <x v="3"/>
    <s v="Dark Chocolate"/>
    <s v="CocoaTreat"/>
    <n v="474"/>
    <n v="442"/>
    <n v="209508"/>
    <x v="3"/>
  </r>
  <r>
    <s v="ORD1978"/>
    <x v="978"/>
    <s v="UK"/>
    <s v="London"/>
    <s v="Customer_898"/>
    <x v="7"/>
    <s v="Dark Chocolate"/>
    <s v="TruffleBite"/>
    <n v="197"/>
    <n v="178"/>
    <n v="35066"/>
    <x v="1"/>
  </r>
  <r>
    <s v="ORD1979"/>
    <x v="979"/>
    <s v="UAE"/>
    <s v="Dubai"/>
    <s v="Customer_125"/>
    <x v="9"/>
    <s v="Premium Truffle"/>
    <s v="CocoaTreat"/>
    <n v="163"/>
    <n v="459"/>
    <n v="74817"/>
    <x v="1"/>
  </r>
  <r>
    <s v="ORD1980"/>
    <x v="980"/>
    <s v="Canada"/>
    <s v="Calgary"/>
    <s v="Customer_764"/>
    <x v="0"/>
    <s v="Nutty Delight"/>
    <s v="ChocoLuxe"/>
    <n v="377"/>
    <n v="471"/>
    <n v="177567"/>
    <x v="2"/>
  </r>
  <r>
    <s v="ORD1981"/>
    <x v="981"/>
    <s v="Germany"/>
    <s v="Berlin"/>
    <s v="Customer_263"/>
    <x v="2"/>
    <s v="Milk Chocolate"/>
    <s v="ChocoLuxe"/>
    <n v="343"/>
    <n v="343"/>
    <n v="117649"/>
    <x v="1"/>
  </r>
  <r>
    <s v="ORD1982"/>
    <x v="982"/>
    <s v="USA"/>
    <s v="Houston"/>
    <s v="Customer_381"/>
    <x v="7"/>
    <s v="Nutty Delight"/>
    <s v="Silk"/>
    <n v="434"/>
    <n v="295"/>
    <n v="128030"/>
    <x v="0"/>
  </r>
  <r>
    <s v="ORD1983"/>
    <x v="983"/>
    <s v="Canada"/>
    <s v="Calgary"/>
    <s v="Customer_135"/>
    <x v="0"/>
    <s v="Premium Truffle"/>
    <s v="SweetNuts"/>
    <n v="429"/>
    <n v="238"/>
    <n v="102102"/>
    <x v="1"/>
  </r>
  <r>
    <s v="ORD1984"/>
    <x v="984"/>
    <s v="USA"/>
    <s v="New York"/>
    <s v="Customer_259"/>
    <x v="0"/>
    <s v="Milk Chocolate"/>
    <s v="Silk"/>
    <n v="386"/>
    <n v="93"/>
    <n v="35898"/>
    <x v="3"/>
  </r>
  <r>
    <s v="ORD1985"/>
    <x v="985"/>
    <s v="USA"/>
    <s v="Los Angeles"/>
    <s v="Customer_771"/>
    <x v="4"/>
    <s v="Milk Chocolate"/>
    <s v="CocoaTreat"/>
    <n v="288"/>
    <n v="135"/>
    <n v="38880"/>
    <x v="3"/>
  </r>
  <r>
    <s v="ORD1986"/>
    <x v="986"/>
    <s v="USA"/>
    <s v="Los Angeles"/>
    <s v="Customer_204"/>
    <x v="4"/>
    <s v="Nutty Delight"/>
    <s v="CrunchyJoy"/>
    <n v="180"/>
    <n v="93"/>
    <n v="16740"/>
    <x v="0"/>
  </r>
  <r>
    <s v="ORD1987"/>
    <x v="987"/>
    <s v="Canada"/>
    <s v="Calgary"/>
    <s v="Customer_917"/>
    <x v="1"/>
    <s v="White Chocolate"/>
    <s v="TruffleBite"/>
    <n v="143"/>
    <n v="379"/>
    <n v="54197"/>
    <x v="3"/>
  </r>
  <r>
    <s v="ORD1988"/>
    <x v="988"/>
    <s v="UAE"/>
    <s v="Dubai"/>
    <s v="Customer_629"/>
    <x v="8"/>
    <s v="Dark Chocolate"/>
    <s v="DarkMagic"/>
    <n v="462"/>
    <n v="424"/>
    <n v="195888"/>
    <x v="3"/>
  </r>
  <r>
    <s v="ORD1989"/>
    <x v="989"/>
    <s v="UK"/>
    <s v="Manchester"/>
    <s v="Customer_405"/>
    <x v="7"/>
    <s v="White Chocolate"/>
    <s v="CocoaTreat"/>
    <n v="436"/>
    <n v="495"/>
    <n v="215820"/>
    <x v="2"/>
  </r>
  <r>
    <s v="ORD1990"/>
    <x v="990"/>
    <s v="UK"/>
    <s v="London"/>
    <s v="Customer_915"/>
    <x v="2"/>
    <s v="Nutty Delight"/>
    <s v="DarkMagic"/>
    <n v="34"/>
    <n v="427"/>
    <n v="14518"/>
    <x v="0"/>
  </r>
  <r>
    <s v="ORD1991"/>
    <x v="991"/>
    <s v="UAE"/>
    <s v="Dubai"/>
    <s v="Customer_703"/>
    <x v="5"/>
    <s v="Dark Chocolate"/>
    <s v="ChocoLuxe"/>
    <n v="27"/>
    <n v="439"/>
    <n v="11853"/>
    <x v="2"/>
  </r>
  <r>
    <s v="ORD1992"/>
    <x v="992"/>
    <s v="USA"/>
    <s v="New York"/>
    <s v="Customer_410"/>
    <x v="2"/>
    <s v="White Chocolate"/>
    <s v="DarkMagic"/>
    <n v="199"/>
    <n v="194"/>
    <n v="38606"/>
    <x v="2"/>
  </r>
  <r>
    <s v="ORD1993"/>
    <x v="993"/>
    <s v="Germany"/>
    <s v="Berlin"/>
    <s v="Customer_428"/>
    <x v="1"/>
    <s v="Dark Chocolate"/>
    <s v="DarkMagic"/>
    <n v="150"/>
    <n v="100"/>
    <n v="15000"/>
    <x v="1"/>
  </r>
  <r>
    <s v="ORD1994"/>
    <x v="994"/>
    <s v="India"/>
    <s v="Mumbai"/>
    <s v="Customer_581"/>
    <x v="9"/>
    <s v="Milk Chocolate"/>
    <s v="CrunchyJoy"/>
    <n v="52"/>
    <n v="291"/>
    <n v="15132"/>
    <x v="0"/>
  </r>
  <r>
    <s v="ORD1995"/>
    <x v="995"/>
    <s v="Canada"/>
    <s v="Toronto"/>
    <s v="Customer_489"/>
    <x v="8"/>
    <s v="White Chocolate"/>
    <s v="DarkMagic"/>
    <n v="343"/>
    <n v="343"/>
    <n v="117649"/>
    <x v="1"/>
  </r>
  <r>
    <s v="ORD1996"/>
    <x v="996"/>
    <s v="India"/>
    <s v="Hyderabad"/>
    <s v="Customer_620"/>
    <x v="5"/>
    <s v="Dark Chocolate"/>
    <s v="CocoaTreat"/>
    <n v="293"/>
    <n v="457"/>
    <n v="133901"/>
    <x v="1"/>
  </r>
  <r>
    <s v="ORD1997"/>
    <x v="997"/>
    <s v="UAE"/>
    <s v="Abu Dhabi"/>
    <s v="Customer_368"/>
    <x v="6"/>
    <s v="Dark Chocolate"/>
    <s v="TruffleBite"/>
    <n v="155"/>
    <n v="100"/>
    <n v="15500"/>
    <x v="2"/>
  </r>
  <r>
    <s v="ORD1998"/>
    <x v="998"/>
    <s v="Germany"/>
    <s v="Munich"/>
    <s v="Customer_245"/>
    <x v="9"/>
    <s v="Dark Chocolate"/>
    <s v="DarkMagic"/>
    <n v="324"/>
    <n v="315"/>
    <n v="102060"/>
    <x v="3"/>
  </r>
  <r>
    <s v="ORD1999"/>
    <x v="999"/>
    <s v="Canada"/>
    <s v="Montreal"/>
    <s v="Customer_394"/>
    <x v="4"/>
    <s v="White Chocolate"/>
    <s v="MilkyBar"/>
    <n v="453"/>
    <n v="169"/>
    <n v="76557"/>
    <x v="0"/>
  </r>
  <r>
    <s v="ORD2000"/>
    <x v="1000"/>
    <s v="UAE"/>
    <s v="Abu Dhabi"/>
    <s v="Customer_900"/>
    <x v="0"/>
    <s v="Premium Truffle"/>
    <s v="DarkMagic"/>
    <n v="328"/>
    <n v="249"/>
    <n v="81672"/>
    <x v="3"/>
  </r>
  <r>
    <s v="ORD2001"/>
    <x v="1001"/>
    <s v="USA"/>
    <s v="Los Angeles"/>
    <s v="Customer_846"/>
    <x v="6"/>
    <s v="White Chocolate"/>
    <s v="DarkMagic"/>
    <n v="450"/>
    <n v="454"/>
    <n v="204300"/>
    <x v="2"/>
  </r>
  <r>
    <s v="ORD2002"/>
    <x v="1002"/>
    <s v="UK"/>
    <s v="Manchester"/>
    <s v="Customer_297"/>
    <x v="2"/>
    <s v="Nutty Delight"/>
    <s v="Silk"/>
    <n v="101"/>
    <n v="297"/>
    <n v="29997"/>
    <x v="2"/>
  </r>
  <r>
    <s v="ORD2003"/>
    <x v="1003"/>
    <s v="India"/>
    <s v="Delhi"/>
    <s v="Customer_385"/>
    <x v="2"/>
    <s v="White Chocolate"/>
    <s v="TruffleBite"/>
    <n v="188"/>
    <n v="119"/>
    <n v="22372"/>
    <x v="2"/>
  </r>
  <r>
    <s v="ORD2004"/>
    <x v="1004"/>
    <s v="Australia"/>
    <s v="Melbourne"/>
    <s v="Customer_117"/>
    <x v="4"/>
    <s v="Dark Chocolate"/>
    <s v="CocoaTreat"/>
    <n v="65"/>
    <n v="390"/>
    <n v="25350"/>
    <x v="2"/>
  </r>
  <r>
    <s v="ORD2005"/>
    <x v="1005"/>
    <s v="Australia"/>
    <s v="Brisbane"/>
    <s v="Customer_300"/>
    <x v="1"/>
    <s v="Milk Chocolate"/>
    <s v="ChocoLuxe"/>
    <n v="164"/>
    <n v="106"/>
    <n v="17384"/>
    <x v="2"/>
  </r>
  <r>
    <s v="ORD2006"/>
    <x v="1006"/>
    <s v="Germany"/>
    <s v="Munich"/>
    <s v="Customer_750"/>
    <x v="7"/>
    <s v="White Chocolate"/>
    <s v="Silk"/>
    <n v="169"/>
    <n v="431"/>
    <n v="72839"/>
    <x v="2"/>
  </r>
  <r>
    <s v="ORD2007"/>
    <x v="1007"/>
    <s v="USA"/>
    <s v="Los Angeles"/>
    <s v="Customer_382"/>
    <x v="6"/>
    <s v="White Chocolate"/>
    <s v="CocoaTreat"/>
    <n v="120"/>
    <n v="88"/>
    <n v="10560"/>
    <x v="3"/>
  </r>
  <r>
    <s v="ORD2008"/>
    <x v="1008"/>
    <s v="India"/>
    <s v="Hyderabad"/>
    <s v="Customer_132"/>
    <x v="6"/>
    <s v="Dark Chocolate"/>
    <s v="SweetNuts"/>
    <n v="146"/>
    <n v="338"/>
    <n v="49348"/>
    <x v="1"/>
  </r>
  <r>
    <s v="ORD2009"/>
    <x v="1009"/>
    <s v="USA"/>
    <s v="New York"/>
    <s v="Customer_637"/>
    <x v="3"/>
    <s v="Milk Chocolate"/>
    <s v="TruffleBite"/>
    <n v="241"/>
    <n v="492"/>
    <n v="118572"/>
    <x v="3"/>
  </r>
  <r>
    <s v="ORD2010"/>
    <x v="1010"/>
    <s v="India"/>
    <s v="Bangalore"/>
    <s v="Customer_594"/>
    <x v="9"/>
    <s v="Milk Chocolate"/>
    <s v="MilkyBar"/>
    <n v="489"/>
    <n v="67"/>
    <n v="32763"/>
    <x v="0"/>
  </r>
  <r>
    <s v="ORD2011"/>
    <x v="1011"/>
    <s v="Germany"/>
    <s v="Berlin"/>
    <s v="Customer_700"/>
    <x v="8"/>
    <s v="Nutty Delight"/>
    <s v="TruffleBite"/>
    <n v="477"/>
    <n v="489"/>
    <n v="233253"/>
    <x v="3"/>
  </r>
  <r>
    <s v="ORD2012"/>
    <x v="1012"/>
    <s v="Germany"/>
    <s v="Frankfurt"/>
    <s v="Customer_691"/>
    <x v="9"/>
    <s v="White Chocolate"/>
    <s v="SweetNuts"/>
    <n v="229"/>
    <n v="269"/>
    <n v="61601"/>
    <x v="2"/>
  </r>
  <r>
    <s v="ORD2013"/>
    <x v="1013"/>
    <s v="Australia"/>
    <s v="Brisbane"/>
    <s v="Customer_823"/>
    <x v="7"/>
    <s v="Milk Chocolate"/>
    <s v="SweetNuts"/>
    <n v="490"/>
    <n v="362"/>
    <n v="177380"/>
    <x v="3"/>
  </r>
  <r>
    <s v="ORD2014"/>
    <x v="1014"/>
    <s v="USA"/>
    <s v="New York"/>
    <s v="Customer_309"/>
    <x v="2"/>
    <s v="Milk Chocolate"/>
    <s v="SweetNuts"/>
    <n v="77"/>
    <n v="293"/>
    <n v="22561"/>
    <x v="1"/>
  </r>
  <r>
    <s v="ORD2015"/>
    <x v="1015"/>
    <s v="Canada"/>
    <s v="Vancouver"/>
    <s v="Customer_367"/>
    <x v="2"/>
    <s v="Premium Truffle"/>
    <s v="CrunchyJoy"/>
    <n v="311"/>
    <n v="401"/>
    <n v="124711"/>
    <x v="0"/>
  </r>
  <r>
    <s v="ORD2016"/>
    <x v="1016"/>
    <s v="Australia"/>
    <s v="Sydney"/>
    <s v="Customer_400"/>
    <x v="2"/>
    <s v="Premium Truffle"/>
    <s v="ChocoLuxe"/>
    <n v="258"/>
    <n v="353"/>
    <n v="91074"/>
    <x v="3"/>
  </r>
  <r>
    <s v="ORD2017"/>
    <x v="1017"/>
    <s v="USA"/>
    <s v="New York"/>
    <s v="Customer_792"/>
    <x v="3"/>
    <s v="Milk Chocolate"/>
    <s v="DarkMagic"/>
    <n v="491"/>
    <n v="347"/>
    <n v="170377"/>
    <x v="1"/>
  </r>
  <r>
    <s v="ORD2018"/>
    <x v="1018"/>
    <s v="Australia"/>
    <s v="Melbourne"/>
    <s v="Customer_115"/>
    <x v="2"/>
    <s v="Nutty Delight"/>
    <s v="TruffleBite"/>
    <n v="332"/>
    <n v="332"/>
    <n v="110224"/>
    <x v="3"/>
  </r>
  <r>
    <s v="ORD2019"/>
    <x v="1019"/>
    <s v="Canada"/>
    <s v="Calgary"/>
    <s v="Customer_397"/>
    <x v="7"/>
    <s v="Milk Chocolate"/>
    <s v="CocoaTreat"/>
    <n v="419"/>
    <n v="123"/>
    <n v="51537"/>
    <x v="0"/>
  </r>
  <r>
    <s v="ORD2020"/>
    <x v="1020"/>
    <s v="UK"/>
    <s v="Liverpool"/>
    <s v="Customer_938"/>
    <x v="4"/>
    <s v="Dark Chocolate"/>
    <s v="CrunchyJoy"/>
    <n v="401"/>
    <n v="159"/>
    <n v="63759"/>
    <x v="3"/>
  </r>
  <r>
    <s v="ORD2021"/>
    <x v="1021"/>
    <s v="UK"/>
    <s v="Liverpool"/>
    <s v="Customer_977"/>
    <x v="8"/>
    <s v="White Chocolate"/>
    <s v="CocoaTreat"/>
    <n v="15"/>
    <n v="229"/>
    <n v="3435"/>
    <x v="2"/>
  </r>
  <r>
    <s v="ORD2022"/>
    <x v="1022"/>
    <s v="UK"/>
    <s v="Manchester"/>
    <s v="Customer_879"/>
    <x v="7"/>
    <s v="Nutty Delight"/>
    <s v="DarkMagic"/>
    <n v="473"/>
    <n v="475"/>
    <n v="224675"/>
    <x v="3"/>
  </r>
  <r>
    <s v="ORD2023"/>
    <x v="1023"/>
    <s v="UK"/>
    <s v="Liverpool"/>
    <s v="Customer_584"/>
    <x v="8"/>
    <s v="Dark Chocolate"/>
    <s v="DarkMagic"/>
    <n v="289"/>
    <n v="81"/>
    <n v="23409"/>
    <x v="1"/>
  </r>
  <r>
    <s v="ORD2024"/>
    <x v="1024"/>
    <s v="UAE"/>
    <s v="Abu Dhabi"/>
    <s v="Customer_638"/>
    <x v="7"/>
    <s v="Nutty Delight"/>
    <s v="MilkyBar"/>
    <n v="441"/>
    <n v="283"/>
    <n v="124803"/>
    <x v="3"/>
  </r>
  <r>
    <s v="ORD2025"/>
    <x v="1025"/>
    <s v="India"/>
    <s v="Hyderabad"/>
    <s v="Customer_690"/>
    <x v="2"/>
    <s v="Dark Chocolate"/>
    <s v="SweetNuts"/>
    <n v="496"/>
    <n v="331"/>
    <n v="164176"/>
    <x v="1"/>
  </r>
  <r>
    <s v="ORD2026"/>
    <x v="1026"/>
    <s v="UAE"/>
    <s v="Abu Dhabi"/>
    <s v="Customer_101"/>
    <x v="4"/>
    <s v="White Chocolate"/>
    <s v="ChocoLuxe"/>
    <n v="103"/>
    <n v="74"/>
    <n v="7622"/>
    <x v="0"/>
  </r>
  <r>
    <s v="ORD2027"/>
    <x v="1027"/>
    <s v="UAE"/>
    <s v="Sharjah"/>
    <s v="Customer_486"/>
    <x v="6"/>
    <s v="White Chocolate"/>
    <s v="MilkyBar"/>
    <n v="438"/>
    <n v="380"/>
    <n v="166440"/>
    <x v="3"/>
  </r>
  <r>
    <s v="ORD2028"/>
    <x v="1028"/>
    <s v="UAE"/>
    <s v="Sharjah"/>
    <s v="Customer_561"/>
    <x v="9"/>
    <s v="Premium Truffle"/>
    <s v="Silk"/>
    <n v="278"/>
    <n v="328"/>
    <n v="91184"/>
    <x v="0"/>
  </r>
  <r>
    <s v="ORD2029"/>
    <x v="1029"/>
    <s v="UK"/>
    <s v="Birmingham"/>
    <s v="Customer_333"/>
    <x v="0"/>
    <s v="Dark Chocolate"/>
    <s v="CrunchyJoy"/>
    <n v="206"/>
    <n v="275"/>
    <n v="56650"/>
    <x v="0"/>
  </r>
  <r>
    <s v="ORD2030"/>
    <x v="1030"/>
    <s v="Canada"/>
    <s v="Montreal"/>
    <s v="Customer_565"/>
    <x v="4"/>
    <s v="Premium Truffle"/>
    <s v="CrunchyJoy"/>
    <n v="34"/>
    <n v="106"/>
    <n v="3604"/>
    <x v="3"/>
  </r>
  <r>
    <s v="ORD2031"/>
    <x v="1031"/>
    <s v="Germany"/>
    <s v="Frankfurt"/>
    <s v="Customer_507"/>
    <x v="6"/>
    <s v="Dark Chocolate"/>
    <s v="ChocoLuxe"/>
    <n v="157"/>
    <n v="229"/>
    <n v="35953"/>
    <x v="1"/>
  </r>
  <r>
    <s v="ORD2032"/>
    <x v="1032"/>
    <s v="Germany"/>
    <s v="Hamburg"/>
    <s v="Customer_285"/>
    <x v="1"/>
    <s v="Premium Truffle"/>
    <s v="DarkMagic"/>
    <n v="127"/>
    <n v="281"/>
    <n v="35687"/>
    <x v="0"/>
  </r>
  <r>
    <s v="ORD2033"/>
    <x v="1033"/>
    <s v="India"/>
    <s v="Hyderabad"/>
    <s v="Customer_628"/>
    <x v="7"/>
    <s v="White Chocolate"/>
    <s v="CocoaTreat"/>
    <n v="347"/>
    <n v="431"/>
    <n v="149557"/>
    <x v="0"/>
  </r>
  <r>
    <s v="ORD2034"/>
    <x v="1034"/>
    <s v="UK"/>
    <s v="Manchester"/>
    <s v="Customer_480"/>
    <x v="1"/>
    <s v="Nutty Delight"/>
    <s v="CrunchyJoy"/>
    <n v="376"/>
    <n v="392"/>
    <n v="147392"/>
    <x v="3"/>
  </r>
  <r>
    <s v="ORD2035"/>
    <x v="1035"/>
    <s v="UK"/>
    <s v="Manchester"/>
    <s v="Customer_765"/>
    <x v="6"/>
    <s v="Premium Truffle"/>
    <s v="ChocoLuxe"/>
    <n v="347"/>
    <n v="336"/>
    <n v="116592"/>
    <x v="3"/>
  </r>
  <r>
    <s v="ORD2036"/>
    <x v="1036"/>
    <s v="UK"/>
    <s v="Manchester"/>
    <s v="Customer_119"/>
    <x v="4"/>
    <s v="Dark Chocolate"/>
    <s v="CrunchyJoy"/>
    <n v="75"/>
    <n v="113"/>
    <n v="8475"/>
    <x v="3"/>
  </r>
  <r>
    <s v="ORD2037"/>
    <x v="1037"/>
    <s v="Australia"/>
    <s v="Melbourne"/>
    <s v="Customer_357"/>
    <x v="7"/>
    <s v="Dark Chocolate"/>
    <s v="CrunchyJoy"/>
    <n v="467"/>
    <n v="281"/>
    <n v="131227"/>
    <x v="3"/>
  </r>
  <r>
    <s v="ORD2038"/>
    <x v="1038"/>
    <s v="USA"/>
    <s v="Chicago"/>
    <s v="Customer_257"/>
    <x v="0"/>
    <s v="White Chocolate"/>
    <s v="SweetNuts"/>
    <n v="310"/>
    <n v="338"/>
    <n v="104780"/>
    <x v="3"/>
  </r>
  <r>
    <s v="ORD2039"/>
    <x v="1039"/>
    <s v="Australia"/>
    <s v="Brisbane"/>
    <s v="Customer_504"/>
    <x v="2"/>
    <s v="Dark Chocolate"/>
    <s v="Silk"/>
    <n v="379"/>
    <n v="262"/>
    <n v="99298"/>
    <x v="2"/>
  </r>
  <r>
    <s v="ORD2040"/>
    <x v="1040"/>
    <s v="USA"/>
    <s v="New York"/>
    <s v="Customer_125"/>
    <x v="7"/>
    <s v="Milk Chocolate"/>
    <s v="SweetNuts"/>
    <n v="184"/>
    <n v="307"/>
    <n v="56488"/>
    <x v="3"/>
  </r>
  <r>
    <s v="ORD2041"/>
    <x v="1041"/>
    <s v="UK"/>
    <s v="Liverpool"/>
    <s v="Customer_648"/>
    <x v="7"/>
    <s v="Nutty Delight"/>
    <s v="Silk"/>
    <n v="328"/>
    <n v="67"/>
    <n v="21976"/>
    <x v="1"/>
  </r>
  <r>
    <s v="ORD2042"/>
    <x v="1042"/>
    <s v="UK"/>
    <s v="Manchester"/>
    <s v="Customer_719"/>
    <x v="4"/>
    <s v="Premium Truffle"/>
    <s v="CrunchyJoy"/>
    <n v="85"/>
    <n v="224"/>
    <n v="19040"/>
    <x v="0"/>
  </r>
  <r>
    <s v="ORD2043"/>
    <x v="1043"/>
    <s v="Australia"/>
    <s v="Melbourne"/>
    <s v="Customer_637"/>
    <x v="4"/>
    <s v="Nutty Delight"/>
    <s v="MilkyBar"/>
    <n v="470"/>
    <n v="466"/>
    <n v="219020"/>
    <x v="1"/>
  </r>
  <r>
    <s v="ORD2044"/>
    <x v="1044"/>
    <s v="Australia"/>
    <s v="Brisbane"/>
    <s v="Customer_522"/>
    <x v="6"/>
    <s v="White Chocolate"/>
    <s v="CocoaTreat"/>
    <n v="123"/>
    <n v="278"/>
    <n v="34194"/>
    <x v="1"/>
  </r>
  <r>
    <s v="ORD2045"/>
    <x v="1045"/>
    <s v="USA"/>
    <s v="Los Angeles"/>
    <s v="Customer_589"/>
    <x v="5"/>
    <s v="Premium Truffle"/>
    <s v="DarkMagic"/>
    <n v="120"/>
    <n v="275"/>
    <n v="33000"/>
    <x v="2"/>
  </r>
  <r>
    <s v="ORD2046"/>
    <x v="1046"/>
    <s v="Germany"/>
    <s v="Munich"/>
    <s v="Customer_136"/>
    <x v="7"/>
    <s v="Premium Truffle"/>
    <s v="CrunchyJoy"/>
    <n v="258"/>
    <n v="133"/>
    <n v="34314"/>
    <x v="3"/>
  </r>
  <r>
    <s v="ORD2047"/>
    <x v="1047"/>
    <s v="USA"/>
    <s v="Houston"/>
    <s v="Customer_320"/>
    <x v="9"/>
    <s v="Milk Chocolate"/>
    <s v="Silk"/>
    <n v="448"/>
    <n v="340"/>
    <n v="152320"/>
    <x v="0"/>
  </r>
  <r>
    <s v="ORD2048"/>
    <x v="1048"/>
    <s v="Australia"/>
    <s v="Brisbane"/>
    <s v="Customer_502"/>
    <x v="7"/>
    <s v="White Chocolate"/>
    <s v="Silk"/>
    <n v="212"/>
    <n v="484"/>
    <n v="102608"/>
    <x v="1"/>
  </r>
  <r>
    <s v="ORD2049"/>
    <x v="1049"/>
    <s v="Canada"/>
    <s v="Calgary"/>
    <s v="Customer_242"/>
    <x v="6"/>
    <s v="Dark Chocolate"/>
    <s v="Silk"/>
    <n v="156"/>
    <n v="419"/>
    <n v="65364"/>
    <x v="3"/>
  </r>
  <r>
    <s v="ORD2050"/>
    <x v="1050"/>
    <s v="Australia"/>
    <s v="Sydney"/>
    <s v="Customer_962"/>
    <x v="8"/>
    <s v="Milk Chocolate"/>
    <s v="CrunchyJoy"/>
    <n v="44"/>
    <n v="295"/>
    <n v="12980"/>
    <x v="3"/>
  </r>
  <r>
    <s v="ORD2051"/>
    <x v="1051"/>
    <s v="Canada"/>
    <s v="Toronto"/>
    <s v="Customer_807"/>
    <x v="1"/>
    <s v="Milk Chocolate"/>
    <s v="ChocoLuxe"/>
    <n v="496"/>
    <n v="451"/>
    <n v="223696"/>
    <x v="2"/>
  </r>
  <r>
    <s v="ORD2052"/>
    <x v="1052"/>
    <s v="India"/>
    <s v="Chennai"/>
    <s v="Customer_576"/>
    <x v="2"/>
    <s v="Nutty Delight"/>
    <s v="MilkyBar"/>
    <n v="318"/>
    <n v="159"/>
    <n v="50562"/>
    <x v="2"/>
  </r>
  <r>
    <s v="ORD2053"/>
    <x v="1053"/>
    <s v="Australia"/>
    <s v="Brisbane"/>
    <s v="Customer_609"/>
    <x v="5"/>
    <s v="Nutty Delight"/>
    <s v="ChocoLuxe"/>
    <n v="35"/>
    <n v="303"/>
    <n v="10605"/>
    <x v="2"/>
  </r>
  <r>
    <s v="ORD2054"/>
    <x v="1054"/>
    <s v="India"/>
    <s v="Delhi"/>
    <s v="Customer_455"/>
    <x v="0"/>
    <s v="Nutty Delight"/>
    <s v="DarkMagic"/>
    <n v="247"/>
    <n v="137"/>
    <n v="33839"/>
    <x v="0"/>
  </r>
  <r>
    <s v="ORD2055"/>
    <x v="1055"/>
    <s v="Germany"/>
    <s v="Frankfurt"/>
    <s v="Customer_187"/>
    <x v="0"/>
    <s v="Milk Chocolate"/>
    <s v="CrunchyJoy"/>
    <n v="23"/>
    <n v="121"/>
    <n v="2783"/>
    <x v="1"/>
  </r>
  <r>
    <s v="ORD2056"/>
    <x v="1056"/>
    <s v="USA"/>
    <s v="Houston"/>
    <s v="Customer_726"/>
    <x v="0"/>
    <s v="Dark Chocolate"/>
    <s v="Silk"/>
    <n v="383"/>
    <n v="430"/>
    <n v="164690"/>
    <x v="2"/>
  </r>
  <r>
    <s v="ORD2057"/>
    <x v="1057"/>
    <s v="Canada"/>
    <s v="Toronto"/>
    <s v="Customer_242"/>
    <x v="4"/>
    <s v="Premium Truffle"/>
    <s v="MilkyBar"/>
    <n v="54"/>
    <n v="79"/>
    <n v="4266"/>
    <x v="2"/>
  </r>
  <r>
    <s v="ORD2058"/>
    <x v="1058"/>
    <s v="USA"/>
    <s v="San Francisco"/>
    <s v="Customer_695"/>
    <x v="0"/>
    <s v="Nutty Delight"/>
    <s v="MilkyBar"/>
    <n v="437"/>
    <n v="221"/>
    <n v="96577"/>
    <x v="2"/>
  </r>
  <r>
    <s v="ORD2059"/>
    <x v="1059"/>
    <s v="India"/>
    <s v="Chennai"/>
    <s v="Customer_972"/>
    <x v="2"/>
    <s v="Dark Chocolate"/>
    <s v="TruffleBite"/>
    <n v="225"/>
    <n v="358"/>
    <n v="80550"/>
    <x v="1"/>
  </r>
  <r>
    <s v="ORD2060"/>
    <x v="1060"/>
    <s v="Canada"/>
    <s v="Montreal"/>
    <s v="Customer_912"/>
    <x v="1"/>
    <s v="White Chocolate"/>
    <s v="DarkMagic"/>
    <n v="242"/>
    <n v="443"/>
    <n v="107206"/>
    <x v="1"/>
  </r>
  <r>
    <s v="ORD2061"/>
    <x v="1061"/>
    <s v="USA"/>
    <s v="Chicago"/>
    <s v="Customer_872"/>
    <x v="0"/>
    <s v="Nutty Delight"/>
    <s v="CocoaTreat"/>
    <n v="202"/>
    <n v="392"/>
    <n v="79184"/>
    <x v="2"/>
  </r>
  <r>
    <s v="ORD2062"/>
    <x v="1062"/>
    <s v="Australia"/>
    <s v="Perth"/>
    <s v="Customer_233"/>
    <x v="7"/>
    <s v="Premium Truffle"/>
    <s v="CocoaTreat"/>
    <n v="60"/>
    <n v="485"/>
    <n v="29100"/>
    <x v="2"/>
  </r>
  <r>
    <s v="ORD2063"/>
    <x v="1063"/>
    <s v="UK"/>
    <s v="Manchester"/>
    <s v="Customer_734"/>
    <x v="7"/>
    <s v="White Chocolate"/>
    <s v="MilkyBar"/>
    <n v="436"/>
    <n v="226"/>
    <n v="98536"/>
    <x v="3"/>
  </r>
  <r>
    <s v="ORD2064"/>
    <x v="1064"/>
    <s v="India"/>
    <s v="Delhi"/>
    <s v="Customer_622"/>
    <x v="4"/>
    <s v="White Chocolate"/>
    <s v="CrunchyJoy"/>
    <n v="384"/>
    <n v="188"/>
    <n v="72192"/>
    <x v="2"/>
  </r>
  <r>
    <s v="ORD2065"/>
    <x v="1065"/>
    <s v="USA"/>
    <s v="Chicago"/>
    <s v="Customer_857"/>
    <x v="2"/>
    <s v="Premium Truffle"/>
    <s v="Silk"/>
    <n v="223"/>
    <n v="243"/>
    <n v="54189"/>
    <x v="0"/>
  </r>
  <r>
    <s v="ORD2066"/>
    <x v="1066"/>
    <s v="India"/>
    <s v="Chennai"/>
    <s v="Customer_783"/>
    <x v="1"/>
    <s v="Nutty Delight"/>
    <s v="Silk"/>
    <n v="160"/>
    <n v="235"/>
    <n v="37600"/>
    <x v="0"/>
  </r>
  <r>
    <s v="ORD2067"/>
    <x v="1067"/>
    <s v="UAE"/>
    <s v="Dubai"/>
    <s v="Customer_297"/>
    <x v="5"/>
    <s v="Milk Chocolate"/>
    <s v="MilkyBar"/>
    <n v="449"/>
    <n v="267"/>
    <n v="119883"/>
    <x v="2"/>
  </r>
  <r>
    <s v="ORD2068"/>
    <x v="1068"/>
    <s v="India"/>
    <s v="Bangalore"/>
    <s v="Customer_460"/>
    <x v="6"/>
    <s v="Premium Truffle"/>
    <s v="ChocoLuxe"/>
    <n v="284"/>
    <n v="213"/>
    <n v="60492"/>
    <x v="1"/>
  </r>
  <r>
    <s v="ORD2069"/>
    <x v="1069"/>
    <s v="Canada"/>
    <s v="Montreal"/>
    <s v="Customer_297"/>
    <x v="1"/>
    <s v="Premium Truffle"/>
    <s v="DarkMagic"/>
    <n v="347"/>
    <n v="210"/>
    <n v="72870"/>
    <x v="3"/>
  </r>
  <r>
    <s v="ORD2070"/>
    <x v="1070"/>
    <s v="UAE"/>
    <s v="Abu Dhabi"/>
    <s v="Customer_768"/>
    <x v="6"/>
    <s v="Premium Truffle"/>
    <s v="Silk"/>
    <n v="85"/>
    <n v="480"/>
    <n v="40800"/>
    <x v="1"/>
  </r>
  <r>
    <s v="ORD2071"/>
    <x v="1071"/>
    <s v="Canada"/>
    <s v="Montreal"/>
    <s v="Customer_891"/>
    <x v="8"/>
    <s v="White Chocolate"/>
    <s v="MilkyBar"/>
    <n v="448"/>
    <n v="62"/>
    <n v="27776"/>
    <x v="2"/>
  </r>
  <r>
    <s v="ORD2072"/>
    <x v="1072"/>
    <s v="UK"/>
    <s v="Birmingham"/>
    <s v="Customer_465"/>
    <x v="6"/>
    <s v="Dark Chocolate"/>
    <s v="Silk"/>
    <n v="229"/>
    <n v="345"/>
    <n v="79005"/>
    <x v="0"/>
  </r>
  <r>
    <s v="ORD2073"/>
    <x v="1073"/>
    <s v="UAE"/>
    <s v="Dubai"/>
    <s v="Customer_496"/>
    <x v="9"/>
    <s v="Milk Chocolate"/>
    <s v="CocoaTreat"/>
    <n v="357"/>
    <n v="138"/>
    <n v="49266"/>
    <x v="3"/>
  </r>
  <r>
    <s v="ORD2074"/>
    <x v="1074"/>
    <s v="Australia"/>
    <s v="Sydney"/>
    <s v="Customer_637"/>
    <x v="7"/>
    <s v="Nutty Delight"/>
    <s v="MilkyBar"/>
    <n v="453"/>
    <n v="373"/>
    <n v="168969"/>
    <x v="1"/>
  </r>
  <r>
    <s v="ORD2075"/>
    <x v="1075"/>
    <s v="India"/>
    <s v="Mumbai"/>
    <s v="Customer_292"/>
    <x v="2"/>
    <s v="Nutty Delight"/>
    <s v="DarkMagic"/>
    <n v="196"/>
    <n v="91"/>
    <n v="17836"/>
    <x v="1"/>
  </r>
  <r>
    <s v="ORD2076"/>
    <x v="1076"/>
    <s v="USA"/>
    <s v="Houston"/>
    <s v="Customer_439"/>
    <x v="3"/>
    <s v="Dark Chocolate"/>
    <s v="MilkyBar"/>
    <n v="298"/>
    <n v="452"/>
    <n v="134696"/>
    <x v="2"/>
  </r>
  <r>
    <s v="ORD2077"/>
    <x v="1077"/>
    <s v="Germany"/>
    <s v="Berlin"/>
    <s v="Customer_432"/>
    <x v="4"/>
    <s v="Premium Truffle"/>
    <s v="TruffleBite"/>
    <n v="412"/>
    <n v="259"/>
    <n v="106708"/>
    <x v="3"/>
  </r>
  <r>
    <s v="ORD2078"/>
    <x v="1078"/>
    <s v="India"/>
    <s v="Chennai"/>
    <s v="Customer_528"/>
    <x v="9"/>
    <s v="Milk Chocolate"/>
    <s v="MilkyBar"/>
    <n v="37"/>
    <n v="278"/>
    <n v="10286"/>
    <x v="0"/>
  </r>
  <r>
    <s v="ORD2079"/>
    <x v="1079"/>
    <s v="India"/>
    <s v="Delhi"/>
    <s v="Customer_825"/>
    <x v="6"/>
    <s v="Nutty Delight"/>
    <s v="MilkyBar"/>
    <n v="388"/>
    <n v="399"/>
    <n v="154812"/>
    <x v="2"/>
  </r>
  <r>
    <s v="ORD2080"/>
    <x v="1080"/>
    <s v="UK"/>
    <s v="London"/>
    <s v="Customer_849"/>
    <x v="0"/>
    <s v="Nutty Delight"/>
    <s v="CrunchyJoy"/>
    <n v="189"/>
    <n v="324"/>
    <n v="61236"/>
    <x v="3"/>
  </r>
  <r>
    <s v="ORD2081"/>
    <x v="1081"/>
    <s v="Australia"/>
    <s v="Perth"/>
    <s v="Customer_444"/>
    <x v="2"/>
    <s v="Premium Truffle"/>
    <s v="CocoaTreat"/>
    <n v="262"/>
    <n v="491"/>
    <n v="128642"/>
    <x v="1"/>
  </r>
  <r>
    <s v="ORD2082"/>
    <x v="1082"/>
    <s v="Germany"/>
    <s v="Hamburg"/>
    <s v="Customer_374"/>
    <x v="9"/>
    <s v="Dark Chocolate"/>
    <s v="DarkMagic"/>
    <n v="135"/>
    <n v="328"/>
    <n v="44280"/>
    <x v="2"/>
  </r>
  <r>
    <s v="ORD2083"/>
    <x v="1083"/>
    <s v="UAE"/>
    <s v="Dubai"/>
    <s v="Customer_508"/>
    <x v="4"/>
    <s v="Milk Chocolate"/>
    <s v="CrunchyJoy"/>
    <n v="186"/>
    <n v="300"/>
    <n v="55800"/>
    <x v="1"/>
  </r>
  <r>
    <s v="ORD2084"/>
    <x v="1084"/>
    <s v="UAE"/>
    <s v="Abu Dhabi"/>
    <s v="Customer_171"/>
    <x v="7"/>
    <s v="Dark Chocolate"/>
    <s v="MilkyBar"/>
    <n v="46"/>
    <n v="359"/>
    <n v="16514"/>
    <x v="1"/>
  </r>
  <r>
    <s v="ORD2085"/>
    <x v="1085"/>
    <s v="UAE"/>
    <s v="Abu Dhabi"/>
    <s v="Customer_622"/>
    <x v="2"/>
    <s v="Dark Chocolate"/>
    <s v="DarkMagic"/>
    <n v="419"/>
    <n v="257"/>
    <n v="107683"/>
    <x v="2"/>
  </r>
  <r>
    <s v="ORD2086"/>
    <x v="1086"/>
    <s v="Canada"/>
    <s v="Toronto"/>
    <s v="Customer_646"/>
    <x v="4"/>
    <s v="Milk Chocolate"/>
    <s v="TruffleBite"/>
    <n v="108"/>
    <n v="370"/>
    <n v="39960"/>
    <x v="2"/>
  </r>
  <r>
    <s v="ORD2087"/>
    <x v="1087"/>
    <s v="Canada"/>
    <s v="Montreal"/>
    <s v="Customer_358"/>
    <x v="8"/>
    <s v="Milk Chocolate"/>
    <s v="DarkMagic"/>
    <n v="107"/>
    <n v="189"/>
    <n v="20223"/>
    <x v="2"/>
  </r>
  <r>
    <s v="ORD2088"/>
    <x v="1088"/>
    <s v="USA"/>
    <s v="New York"/>
    <s v="Customer_339"/>
    <x v="8"/>
    <s v="Nutty Delight"/>
    <s v="Silk"/>
    <n v="136"/>
    <n v="329"/>
    <n v="44744"/>
    <x v="2"/>
  </r>
  <r>
    <s v="ORD2089"/>
    <x v="1089"/>
    <s v="Germany"/>
    <s v="Hamburg"/>
    <s v="Customer_854"/>
    <x v="4"/>
    <s v="Nutty Delight"/>
    <s v="CrunchyJoy"/>
    <n v="492"/>
    <n v="83"/>
    <n v="40836"/>
    <x v="2"/>
  </r>
  <r>
    <s v="ORD2090"/>
    <x v="1090"/>
    <s v="UAE"/>
    <s v="Abu Dhabi"/>
    <s v="Customer_780"/>
    <x v="9"/>
    <s v="Milk Chocolate"/>
    <s v="DarkMagic"/>
    <n v="177"/>
    <n v="358"/>
    <n v="63366"/>
    <x v="1"/>
  </r>
  <r>
    <s v="ORD2091"/>
    <x v="1091"/>
    <s v="Canada"/>
    <s v="Toronto"/>
    <s v="Customer_448"/>
    <x v="2"/>
    <s v="White Chocolate"/>
    <s v="CocoaTreat"/>
    <n v="89"/>
    <n v="441"/>
    <n v="39249"/>
    <x v="0"/>
  </r>
  <r>
    <s v="ORD2092"/>
    <x v="1092"/>
    <s v="USA"/>
    <s v="Los Angeles"/>
    <s v="Customer_121"/>
    <x v="9"/>
    <s v="Nutty Delight"/>
    <s v="TruffleBite"/>
    <n v="303"/>
    <n v="67"/>
    <n v="20301"/>
    <x v="0"/>
  </r>
  <r>
    <s v="ORD2093"/>
    <x v="1093"/>
    <s v="Australia"/>
    <s v="Perth"/>
    <s v="Customer_536"/>
    <x v="5"/>
    <s v="White Chocolate"/>
    <s v="SweetNuts"/>
    <n v="342"/>
    <n v="106"/>
    <n v="36252"/>
    <x v="2"/>
  </r>
  <r>
    <s v="ORD2094"/>
    <x v="1094"/>
    <s v="USA"/>
    <s v="Houston"/>
    <s v="Customer_336"/>
    <x v="6"/>
    <s v="Milk Chocolate"/>
    <s v="MilkyBar"/>
    <n v="135"/>
    <n v="161"/>
    <n v="21735"/>
    <x v="1"/>
  </r>
  <r>
    <s v="ORD2095"/>
    <x v="1095"/>
    <s v="Canada"/>
    <s v="Vancouver"/>
    <s v="Customer_740"/>
    <x v="5"/>
    <s v="Nutty Delight"/>
    <s v="DarkMagic"/>
    <n v="352"/>
    <n v="54"/>
    <n v="19008"/>
    <x v="0"/>
  </r>
  <r>
    <s v="ORD2096"/>
    <x v="1096"/>
    <s v="UK"/>
    <s v="Birmingham"/>
    <s v="Customer_149"/>
    <x v="8"/>
    <s v="Dark Chocolate"/>
    <s v="MilkyBar"/>
    <n v="319"/>
    <n v="459"/>
    <n v="146421"/>
    <x v="0"/>
  </r>
  <r>
    <s v="ORD2097"/>
    <x v="1097"/>
    <s v="UK"/>
    <s v="Manchester"/>
    <s v="Customer_857"/>
    <x v="7"/>
    <s v="Milk Chocolate"/>
    <s v="ChocoLuxe"/>
    <n v="159"/>
    <n v="463"/>
    <n v="73617"/>
    <x v="0"/>
  </r>
  <r>
    <s v="ORD2098"/>
    <x v="1098"/>
    <s v="UAE"/>
    <s v="Abu Dhabi"/>
    <s v="Customer_408"/>
    <x v="1"/>
    <s v="Premium Truffle"/>
    <s v="Silk"/>
    <n v="25"/>
    <n v="231"/>
    <n v="5775"/>
    <x v="1"/>
  </r>
  <r>
    <s v="ORD2099"/>
    <x v="1099"/>
    <s v="UK"/>
    <s v="Birmingham"/>
    <s v="Customer_725"/>
    <x v="6"/>
    <s v="White Chocolate"/>
    <s v="CrunchyJoy"/>
    <n v="37"/>
    <n v="62"/>
    <n v="2294"/>
    <x v="2"/>
  </r>
  <r>
    <s v="ORD2100"/>
    <x v="1100"/>
    <s v="UAE"/>
    <s v="Abu Dhabi"/>
    <s v="Customer_577"/>
    <x v="8"/>
    <s v="Milk Chocolate"/>
    <s v="Silk"/>
    <n v="428"/>
    <n v="388"/>
    <n v="166064"/>
    <x v="2"/>
  </r>
  <r>
    <s v="ORD2101"/>
    <x v="1101"/>
    <s v="UAE"/>
    <s v="Sharjah"/>
    <s v="Customer_753"/>
    <x v="9"/>
    <s v="Milk Chocolate"/>
    <s v="ChocoLuxe"/>
    <n v="453"/>
    <n v="334"/>
    <n v="151302"/>
    <x v="2"/>
  </r>
  <r>
    <s v="ORD2102"/>
    <x v="1102"/>
    <s v="Canada"/>
    <s v="Montreal"/>
    <s v="Customer_150"/>
    <x v="9"/>
    <s v="Nutty Delight"/>
    <s v="ChocoLuxe"/>
    <n v="182"/>
    <n v="308"/>
    <n v="56056"/>
    <x v="3"/>
  </r>
  <r>
    <s v="ORD2103"/>
    <x v="1103"/>
    <s v="UK"/>
    <s v="Manchester"/>
    <s v="Customer_662"/>
    <x v="9"/>
    <s v="Nutty Delight"/>
    <s v="CrunchyJoy"/>
    <n v="55"/>
    <n v="139"/>
    <n v="7645"/>
    <x v="3"/>
  </r>
  <r>
    <s v="ORD2104"/>
    <x v="1104"/>
    <s v="UAE"/>
    <s v="Abu Dhabi"/>
    <s v="Customer_134"/>
    <x v="7"/>
    <s v="Nutty Delight"/>
    <s v="DarkMagic"/>
    <n v="337"/>
    <n v="153"/>
    <n v="51561"/>
    <x v="3"/>
  </r>
  <r>
    <s v="ORD2105"/>
    <x v="1105"/>
    <s v="Germany"/>
    <s v="Berlin"/>
    <s v="Customer_351"/>
    <x v="5"/>
    <s v="Premium Truffle"/>
    <s v="ChocoLuxe"/>
    <n v="245"/>
    <n v="428"/>
    <n v="104860"/>
    <x v="1"/>
  </r>
  <r>
    <s v="ORD2106"/>
    <x v="1106"/>
    <s v="Australia"/>
    <s v="Perth"/>
    <s v="Customer_343"/>
    <x v="1"/>
    <s v="Nutty Delight"/>
    <s v="SweetNuts"/>
    <n v="448"/>
    <n v="235"/>
    <n v="105280"/>
    <x v="0"/>
  </r>
  <r>
    <s v="ORD2107"/>
    <x v="1107"/>
    <s v="USA"/>
    <s v="Chicago"/>
    <s v="Customer_867"/>
    <x v="9"/>
    <s v="Milk Chocolate"/>
    <s v="MilkyBar"/>
    <n v="223"/>
    <n v="299"/>
    <n v="66677"/>
    <x v="0"/>
  </r>
  <r>
    <s v="ORD2108"/>
    <x v="1108"/>
    <s v="USA"/>
    <s v="San Francisco"/>
    <s v="Customer_697"/>
    <x v="3"/>
    <s v="Nutty Delight"/>
    <s v="MilkyBar"/>
    <n v="94"/>
    <n v="304"/>
    <n v="28576"/>
    <x v="1"/>
  </r>
  <r>
    <s v="ORD2109"/>
    <x v="1109"/>
    <s v="Canada"/>
    <s v="Vancouver"/>
    <s v="Customer_408"/>
    <x v="6"/>
    <s v="Dark Chocolate"/>
    <s v="TruffleBite"/>
    <n v="291"/>
    <n v="125"/>
    <n v="36375"/>
    <x v="1"/>
  </r>
  <r>
    <s v="ORD2110"/>
    <x v="1110"/>
    <s v="UK"/>
    <s v="Liverpool"/>
    <s v="Customer_979"/>
    <x v="2"/>
    <s v="Nutty Delight"/>
    <s v="CocoaTreat"/>
    <n v="241"/>
    <n v="435"/>
    <n v="104835"/>
    <x v="2"/>
  </r>
  <r>
    <s v="ORD2111"/>
    <x v="1111"/>
    <s v="UK"/>
    <s v="London"/>
    <s v="Customer_475"/>
    <x v="3"/>
    <s v="Premium Truffle"/>
    <s v="ChocoLuxe"/>
    <n v="94"/>
    <n v="157"/>
    <n v="14758"/>
    <x v="2"/>
  </r>
  <r>
    <s v="ORD2112"/>
    <x v="1112"/>
    <s v="UAE"/>
    <s v="Sharjah"/>
    <s v="Customer_700"/>
    <x v="1"/>
    <s v="Dark Chocolate"/>
    <s v="ChocoLuxe"/>
    <n v="418"/>
    <n v="205"/>
    <n v="85690"/>
    <x v="3"/>
  </r>
  <r>
    <s v="ORD2113"/>
    <x v="1113"/>
    <s v="India"/>
    <s v="Mumbai"/>
    <s v="Customer_634"/>
    <x v="7"/>
    <s v="Milk Chocolate"/>
    <s v="SweetNuts"/>
    <n v="498"/>
    <n v="131"/>
    <n v="65238"/>
    <x v="3"/>
  </r>
  <r>
    <s v="ORD2114"/>
    <x v="1114"/>
    <s v="UAE"/>
    <s v="Sharjah"/>
    <s v="Customer_134"/>
    <x v="1"/>
    <s v="Milk Chocolate"/>
    <s v="Silk"/>
    <n v="74"/>
    <n v="126"/>
    <n v="9324"/>
    <x v="1"/>
  </r>
  <r>
    <s v="ORD2115"/>
    <x v="1115"/>
    <s v="Australia"/>
    <s v="Melbourne"/>
    <s v="Customer_365"/>
    <x v="2"/>
    <s v="White Chocolate"/>
    <s v="Silk"/>
    <n v="143"/>
    <n v="307"/>
    <n v="43901"/>
    <x v="3"/>
  </r>
  <r>
    <s v="ORD2116"/>
    <x v="1116"/>
    <s v="Germany"/>
    <s v="Hamburg"/>
    <s v="Customer_294"/>
    <x v="6"/>
    <s v="Dark Chocolate"/>
    <s v="MilkyBar"/>
    <n v="160"/>
    <n v="176"/>
    <n v="28160"/>
    <x v="0"/>
  </r>
  <r>
    <s v="ORD2117"/>
    <x v="1117"/>
    <s v="USA"/>
    <s v="Houston"/>
    <s v="Customer_760"/>
    <x v="2"/>
    <s v="White Chocolate"/>
    <s v="MilkyBar"/>
    <n v="124"/>
    <n v="440"/>
    <n v="54560"/>
    <x v="1"/>
  </r>
  <r>
    <s v="ORD2118"/>
    <x v="1118"/>
    <s v="UAE"/>
    <s v="Abu Dhabi"/>
    <s v="Customer_855"/>
    <x v="4"/>
    <s v="Dark Chocolate"/>
    <s v="DarkMagic"/>
    <n v="73"/>
    <n v="331"/>
    <n v="24163"/>
    <x v="1"/>
  </r>
  <r>
    <s v="ORD2119"/>
    <x v="1119"/>
    <s v="India"/>
    <s v="Delhi"/>
    <s v="Customer_960"/>
    <x v="6"/>
    <s v="Dark Chocolate"/>
    <s v="CrunchyJoy"/>
    <n v="352"/>
    <n v="137"/>
    <n v="48224"/>
    <x v="0"/>
  </r>
  <r>
    <s v="ORD2120"/>
    <x v="1120"/>
    <s v="India"/>
    <s v="Hyderabad"/>
    <s v="Customer_724"/>
    <x v="1"/>
    <s v="Premium Truffle"/>
    <s v="CocoaTreat"/>
    <n v="436"/>
    <n v="253"/>
    <n v="110308"/>
    <x v="2"/>
  </r>
  <r>
    <s v="ORD2121"/>
    <x v="1121"/>
    <s v="UAE"/>
    <s v="Abu Dhabi"/>
    <s v="Customer_248"/>
    <x v="9"/>
    <s v="White Chocolate"/>
    <s v="SweetNuts"/>
    <n v="372"/>
    <n v="65"/>
    <n v="24180"/>
    <x v="2"/>
  </r>
  <r>
    <s v="ORD2122"/>
    <x v="1122"/>
    <s v="Canada"/>
    <s v="Vancouver"/>
    <s v="Customer_671"/>
    <x v="1"/>
    <s v="Premium Truffle"/>
    <s v="CrunchyJoy"/>
    <n v="416"/>
    <n v="200"/>
    <n v="83200"/>
    <x v="0"/>
  </r>
  <r>
    <s v="ORD2123"/>
    <x v="1123"/>
    <s v="USA"/>
    <s v="Los Angeles"/>
    <s v="Customer_900"/>
    <x v="1"/>
    <s v="Dark Chocolate"/>
    <s v="CrunchyJoy"/>
    <n v="361"/>
    <n v="473"/>
    <n v="170753"/>
    <x v="0"/>
  </r>
  <r>
    <s v="ORD2124"/>
    <x v="1124"/>
    <s v="Canada"/>
    <s v="Montreal"/>
    <s v="Customer_614"/>
    <x v="6"/>
    <s v="Milk Chocolate"/>
    <s v="TruffleBite"/>
    <n v="167"/>
    <n v="303"/>
    <n v="50601"/>
    <x v="3"/>
  </r>
  <r>
    <s v="ORD2125"/>
    <x v="1125"/>
    <s v="Germany"/>
    <s v="Berlin"/>
    <s v="Customer_748"/>
    <x v="4"/>
    <s v="Dark Chocolate"/>
    <s v="CrunchyJoy"/>
    <n v="86"/>
    <n v="237"/>
    <n v="20382"/>
    <x v="1"/>
  </r>
  <r>
    <s v="ORD2126"/>
    <x v="1126"/>
    <s v="India"/>
    <s v="Chennai"/>
    <s v="Customer_506"/>
    <x v="1"/>
    <s v="Premium Truffle"/>
    <s v="TruffleBite"/>
    <n v="155"/>
    <n v="378"/>
    <n v="58590"/>
    <x v="3"/>
  </r>
  <r>
    <s v="ORD2127"/>
    <x v="1127"/>
    <s v="India"/>
    <s v="Chennai"/>
    <s v="Customer_681"/>
    <x v="3"/>
    <s v="White Chocolate"/>
    <s v="CrunchyJoy"/>
    <n v="352"/>
    <n v="81"/>
    <n v="28512"/>
    <x v="0"/>
  </r>
  <r>
    <s v="ORD2128"/>
    <x v="1128"/>
    <s v="Australia"/>
    <s v="Sydney"/>
    <s v="Customer_897"/>
    <x v="8"/>
    <s v="White Chocolate"/>
    <s v="SweetNuts"/>
    <n v="472"/>
    <n v="320"/>
    <n v="151040"/>
    <x v="3"/>
  </r>
  <r>
    <s v="ORD2129"/>
    <x v="1129"/>
    <s v="Germany"/>
    <s v="Munich"/>
    <s v="Customer_830"/>
    <x v="0"/>
    <s v="Premium Truffle"/>
    <s v="TruffleBite"/>
    <n v="234"/>
    <n v="446"/>
    <n v="104364"/>
    <x v="0"/>
  </r>
  <r>
    <s v="ORD2130"/>
    <x v="1130"/>
    <s v="India"/>
    <s v="Hyderabad"/>
    <s v="Customer_312"/>
    <x v="0"/>
    <s v="White Chocolate"/>
    <s v="Silk"/>
    <n v="414"/>
    <n v="54"/>
    <n v="22356"/>
    <x v="3"/>
  </r>
  <r>
    <s v="ORD2131"/>
    <x v="1131"/>
    <s v="Germany"/>
    <s v="Berlin"/>
    <s v="Customer_146"/>
    <x v="1"/>
    <s v="Nutty Delight"/>
    <s v="TruffleBite"/>
    <n v="322"/>
    <n v="379"/>
    <n v="122038"/>
    <x v="3"/>
  </r>
  <r>
    <s v="ORD2132"/>
    <x v="1132"/>
    <s v="USA"/>
    <s v="New York"/>
    <s v="Customer_876"/>
    <x v="3"/>
    <s v="Milk Chocolate"/>
    <s v="TruffleBite"/>
    <n v="112"/>
    <n v="357"/>
    <n v="39984"/>
    <x v="2"/>
  </r>
  <r>
    <s v="ORD2133"/>
    <x v="1133"/>
    <s v="UK"/>
    <s v="Liverpool"/>
    <s v="Customer_592"/>
    <x v="9"/>
    <s v="Milk Chocolate"/>
    <s v="SweetNuts"/>
    <n v="416"/>
    <n v="382"/>
    <n v="158912"/>
    <x v="0"/>
  </r>
  <r>
    <s v="ORD2134"/>
    <x v="1134"/>
    <s v="India"/>
    <s v="Delhi"/>
    <s v="Customer_515"/>
    <x v="7"/>
    <s v="Milk Chocolate"/>
    <s v="SweetNuts"/>
    <n v="356"/>
    <n v="218"/>
    <n v="77608"/>
    <x v="3"/>
  </r>
  <r>
    <s v="ORD2135"/>
    <x v="1135"/>
    <s v="Australia"/>
    <s v="Brisbane"/>
    <s v="Customer_565"/>
    <x v="7"/>
    <s v="White Chocolate"/>
    <s v="TruffleBite"/>
    <n v="310"/>
    <n v="230"/>
    <n v="71300"/>
    <x v="1"/>
  </r>
  <r>
    <s v="ORD2136"/>
    <x v="1136"/>
    <s v="USA"/>
    <s v="New York"/>
    <s v="Customer_239"/>
    <x v="6"/>
    <s v="White Chocolate"/>
    <s v="CocoaTreat"/>
    <n v="437"/>
    <n v="415"/>
    <n v="181355"/>
    <x v="3"/>
  </r>
  <r>
    <s v="ORD2137"/>
    <x v="1137"/>
    <s v="UAE"/>
    <s v="Sharjah"/>
    <s v="Customer_386"/>
    <x v="0"/>
    <s v="Dark Chocolate"/>
    <s v="ChocoLuxe"/>
    <n v="475"/>
    <n v="227"/>
    <n v="107825"/>
    <x v="3"/>
  </r>
  <r>
    <s v="ORD2138"/>
    <x v="1138"/>
    <s v="Germany"/>
    <s v="Berlin"/>
    <s v="Customer_189"/>
    <x v="1"/>
    <s v="Dark Chocolate"/>
    <s v="CocoaTreat"/>
    <n v="97"/>
    <n v="192"/>
    <n v="18624"/>
    <x v="1"/>
  </r>
  <r>
    <s v="ORD2139"/>
    <x v="1139"/>
    <s v="UAE"/>
    <s v="Dubai"/>
    <s v="Customer_508"/>
    <x v="7"/>
    <s v="Milk Chocolate"/>
    <s v="SweetNuts"/>
    <n v="380"/>
    <n v="411"/>
    <n v="156180"/>
    <x v="0"/>
  </r>
  <r>
    <s v="ORD2140"/>
    <x v="1140"/>
    <s v="Canada"/>
    <s v="Calgary"/>
    <s v="Customer_645"/>
    <x v="1"/>
    <s v="Nutty Delight"/>
    <s v="CocoaTreat"/>
    <n v="312"/>
    <n v="297"/>
    <n v="92664"/>
    <x v="2"/>
  </r>
  <r>
    <s v="ORD2141"/>
    <x v="1141"/>
    <s v="USA"/>
    <s v="Los Angeles"/>
    <s v="Customer_928"/>
    <x v="6"/>
    <s v="Dark Chocolate"/>
    <s v="CocoaTreat"/>
    <n v="177"/>
    <n v="176"/>
    <n v="31152"/>
    <x v="2"/>
  </r>
  <r>
    <s v="ORD2142"/>
    <x v="1142"/>
    <s v="UAE"/>
    <s v="Sharjah"/>
    <s v="Customer_190"/>
    <x v="0"/>
    <s v="Dark Chocolate"/>
    <s v="DarkMagic"/>
    <n v="444"/>
    <n v="312"/>
    <n v="138528"/>
    <x v="2"/>
  </r>
  <r>
    <s v="ORD2143"/>
    <x v="1143"/>
    <s v="India"/>
    <s v="Chennai"/>
    <s v="Customer_249"/>
    <x v="2"/>
    <s v="White Chocolate"/>
    <s v="DarkMagic"/>
    <n v="179"/>
    <n v="89"/>
    <n v="15931"/>
    <x v="1"/>
  </r>
  <r>
    <s v="ORD2144"/>
    <x v="1144"/>
    <s v="Germany"/>
    <s v="Berlin"/>
    <s v="Customer_370"/>
    <x v="8"/>
    <s v="Nutty Delight"/>
    <s v="Silk"/>
    <n v="144"/>
    <n v="461"/>
    <n v="66384"/>
    <x v="3"/>
  </r>
  <r>
    <s v="ORD2145"/>
    <x v="1145"/>
    <s v="UK"/>
    <s v="Birmingham"/>
    <s v="Customer_273"/>
    <x v="8"/>
    <s v="Milk Chocolate"/>
    <s v="CrunchyJoy"/>
    <n v="59"/>
    <n v="465"/>
    <n v="27435"/>
    <x v="0"/>
  </r>
  <r>
    <s v="ORD2146"/>
    <x v="1146"/>
    <s v="USA"/>
    <s v="New York"/>
    <s v="Customer_186"/>
    <x v="7"/>
    <s v="Dark Chocolate"/>
    <s v="TruffleBite"/>
    <n v="441"/>
    <n v="404"/>
    <n v="178164"/>
    <x v="3"/>
  </r>
  <r>
    <s v="ORD2147"/>
    <x v="1147"/>
    <s v="India"/>
    <s v="Hyderabad"/>
    <s v="Customer_907"/>
    <x v="8"/>
    <s v="Nutty Delight"/>
    <s v="ChocoLuxe"/>
    <n v="349"/>
    <n v="304"/>
    <n v="106096"/>
    <x v="2"/>
  </r>
  <r>
    <s v="ORD2148"/>
    <x v="1148"/>
    <s v="Australia"/>
    <s v="Perth"/>
    <s v="Customer_998"/>
    <x v="2"/>
    <s v="Nutty Delight"/>
    <s v="Silk"/>
    <n v="356"/>
    <n v="192"/>
    <n v="68352"/>
    <x v="3"/>
  </r>
  <r>
    <s v="ORD2149"/>
    <x v="1149"/>
    <s v="Canada"/>
    <s v="Calgary"/>
    <s v="Customer_336"/>
    <x v="1"/>
    <s v="Milk Chocolate"/>
    <s v="TruffleBite"/>
    <n v="143"/>
    <n v="289"/>
    <n v="41327"/>
    <x v="1"/>
  </r>
  <r>
    <s v="ORD2150"/>
    <x v="1150"/>
    <s v="Germany"/>
    <s v="Berlin"/>
    <s v="Customer_498"/>
    <x v="6"/>
    <s v="Nutty Delight"/>
    <s v="CocoaTreat"/>
    <n v="356"/>
    <n v="277"/>
    <n v="98612"/>
    <x v="1"/>
  </r>
  <r>
    <s v="ORD2151"/>
    <x v="1151"/>
    <s v="USA"/>
    <s v="Chicago"/>
    <s v="Customer_554"/>
    <x v="2"/>
    <s v="Nutty Delight"/>
    <s v="SweetNuts"/>
    <n v="146"/>
    <n v="390"/>
    <n v="56940"/>
    <x v="0"/>
  </r>
  <r>
    <s v="ORD2152"/>
    <x v="1152"/>
    <s v="USA"/>
    <s v="Los Angeles"/>
    <s v="Customer_384"/>
    <x v="6"/>
    <s v="Nutty Delight"/>
    <s v="DarkMagic"/>
    <n v="254"/>
    <n v="247"/>
    <n v="62738"/>
    <x v="0"/>
  </r>
  <r>
    <s v="ORD2153"/>
    <x v="1153"/>
    <s v="UK"/>
    <s v="Birmingham"/>
    <s v="Customer_798"/>
    <x v="6"/>
    <s v="Dark Chocolate"/>
    <s v="MilkyBar"/>
    <n v="118"/>
    <n v="114"/>
    <n v="13452"/>
    <x v="2"/>
  </r>
  <r>
    <s v="ORD2154"/>
    <x v="1154"/>
    <s v="UK"/>
    <s v="Manchester"/>
    <s v="Customer_384"/>
    <x v="0"/>
    <s v="Milk Chocolate"/>
    <s v="ChocoLuxe"/>
    <n v="322"/>
    <n v="437"/>
    <n v="140714"/>
    <x v="0"/>
  </r>
  <r>
    <s v="ORD2155"/>
    <x v="1155"/>
    <s v="Australia"/>
    <s v="Melbourne"/>
    <s v="Customer_726"/>
    <x v="1"/>
    <s v="Nutty Delight"/>
    <s v="CocoaTreat"/>
    <n v="296"/>
    <n v="60"/>
    <n v="17760"/>
    <x v="3"/>
  </r>
  <r>
    <s v="ORD2156"/>
    <x v="1156"/>
    <s v="Canada"/>
    <s v="Calgary"/>
    <s v="Customer_777"/>
    <x v="3"/>
    <s v="Nutty Delight"/>
    <s v="MilkyBar"/>
    <n v="30"/>
    <n v="157"/>
    <n v="4710"/>
    <x v="1"/>
  </r>
  <r>
    <s v="ORD2157"/>
    <x v="1157"/>
    <s v="Australia"/>
    <s v="Melbourne"/>
    <s v="Customer_134"/>
    <x v="8"/>
    <s v="Dark Chocolate"/>
    <s v="DarkMagic"/>
    <n v="99"/>
    <n v="75"/>
    <n v="7425"/>
    <x v="1"/>
  </r>
  <r>
    <s v="ORD2158"/>
    <x v="1158"/>
    <s v="India"/>
    <s v="Chennai"/>
    <s v="Customer_545"/>
    <x v="3"/>
    <s v="Milk Chocolate"/>
    <s v="CocoaTreat"/>
    <n v="305"/>
    <n v="494"/>
    <n v="150670"/>
    <x v="1"/>
  </r>
  <r>
    <s v="ORD2159"/>
    <x v="1159"/>
    <s v="India"/>
    <s v="Delhi"/>
    <s v="Customer_192"/>
    <x v="0"/>
    <s v="White Chocolate"/>
    <s v="CrunchyJoy"/>
    <n v="121"/>
    <n v="470"/>
    <n v="56870"/>
    <x v="0"/>
  </r>
  <r>
    <s v="ORD2160"/>
    <x v="1160"/>
    <s v="Australia"/>
    <s v="Perth"/>
    <s v="Customer_602"/>
    <x v="6"/>
    <s v="Dark Chocolate"/>
    <s v="CrunchyJoy"/>
    <n v="310"/>
    <n v="200"/>
    <n v="62000"/>
    <x v="1"/>
  </r>
  <r>
    <s v="ORD2161"/>
    <x v="1161"/>
    <s v="Canada"/>
    <s v="Vancouver"/>
    <s v="Customer_279"/>
    <x v="7"/>
    <s v="Milk Chocolate"/>
    <s v="MilkyBar"/>
    <n v="86"/>
    <n v="270"/>
    <n v="23220"/>
    <x v="1"/>
  </r>
  <r>
    <s v="ORD2162"/>
    <x v="1162"/>
    <s v="Australia"/>
    <s v="Sydney"/>
    <s v="Customer_268"/>
    <x v="8"/>
    <s v="Nutty Delight"/>
    <s v="SweetNuts"/>
    <n v="186"/>
    <n v="390"/>
    <n v="72540"/>
    <x v="1"/>
  </r>
  <r>
    <s v="ORD2163"/>
    <x v="1163"/>
    <s v="Canada"/>
    <s v="Toronto"/>
    <s v="Customer_356"/>
    <x v="8"/>
    <s v="Milk Chocolate"/>
    <s v="CocoaTreat"/>
    <n v="352"/>
    <n v="286"/>
    <n v="100672"/>
    <x v="2"/>
  </r>
  <r>
    <s v="ORD2164"/>
    <x v="1164"/>
    <s v="Canada"/>
    <s v="Toronto"/>
    <s v="Customer_484"/>
    <x v="1"/>
    <s v="Milk Chocolate"/>
    <s v="TruffleBite"/>
    <n v="157"/>
    <n v="286"/>
    <n v="44902"/>
    <x v="2"/>
  </r>
  <r>
    <s v="ORD2165"/>
    <x v="1165"/>
    <s v="UAE"/>
    <s v="Sharjah"/>
    <s v="Customer_887"/>
    <x v="4"/>
    <s v="Milk Chocolate"/>
    <s v="CocoaTreat"/>
    <n v="110"/>
    <n v="268"/>
    <n v="29480"/>
    <x v="0"/>
  </r>
  <r>
    <s v="ORD2166"/>
    <x v="1166"/>
    <s v="Germany"/>
    <s v="Hamburg"/>
    <s v="Customer_242"/>
    <x v="5"/>
    <s v="White Chocolate"/>
    <s v="SweetNuts"/>
    <n v="255"/>
    <n v="473"/>
    <n v="120615"/>
    <x v="1"/>
  </r>
  <r>
    <s v="ORD2167"/>
    <x v="1167"/>
    <s v="Canada"/>
    <s v="Toronto"/>
    <s v="Customer_580"/>
    <x v="5"/>
    <s v="Milk Chocolate"/>
    <s v="CocoaTreat"/>
    <n v="126"/>
    <n v="200"/>
    <n v="25200"/>
    <x v="0"/>
  </r>
  <r>
    <s v="ORD2168"/>
    <x v="1168"/>
    <s v="UK"/>
    <s v="London"/>
    <s v="Customer_808"/>
    <x v="5"/>
    <s v="White Chocolate"/>
    <s v="MilkyBar"/>
    <n v="101"/>
    <n v="172"/>
    <n v="17372"/>
    <x v="1"/>
  </r>
  <r>
    <s v="ORD2169"/>
    <x v="1169"/>
    <s v="Canada"/>
    <s v="Calgary"/>
    <s v="Customer_399"/>
    <x v="4"/>
    <s v="Nutty Delight"/>
    <s v="SweetNuts"/>
    <n v="410"/>
    <n v="193"/>
    <n v="79130"/>
    <x v="1"/>
  </r>
  <r>
    <s v="ORD2170"/>
    <x v="1170"/>
    <s v="Canada"/>
    <s v="Vancouver"/>
    <s v="Customer_946"/>
    <x v="1"/>
    <s v="White Chocolate"/>
    <s v="DarkMagic"/>
    <n v="37"/>
    <n v="238"/>
    <n v="8806"/>
    <x v="1"/>
  </r>
  <r>
    <s v="ORD2171"/>
    <x v="1171"/>
    <s v="Canada"/>
    <s v="Calgary"/>
    <s v="Customer_944"/>
    <x v="4"/>
    <s v="Nutty Delight"/>
    <s v="ChocoLuxe"/>
    <n v="434"/>
    <n v="304"/>
    <n v="131936"/>
    <x v="0"/>
  </r>
  <r>
    <s v="ORD2172"/>
    <x v="1172"/>
    <s v="UAE"/>
    <s v="Dubai"/>
    <s v="Customer_626"/>
    <x v="5"/>
    <s v="Nutty Delight"/>
    <s v="SweetNuts"/>
    <n v="459"/>
    <n v="117"/>
    <n v="53703"/>
    <x v="0"/>
  </r>
  <r>
    <s v="ORD2173"/>
    <x v="1173"/>
    <s v="UAE"/>
    <s v="Sharjah"/>
    <s v="Customer_479"/>
    <x v="0"/>
    <s v="White Chocolate"/>
    <s v="CocoaTreat"/>
    <n v="34"/>
    <n v="153"/>
    <n v="5202"/>
    <x v="1"/>
  </r>
  <r>
    <s v="ORD2174"/>
    <x v="1174"/>
    <s v="India"/>
    <s v="Chennai"/>
    <s v="Customer_969"/>
    <x v="2"/>
    <s v="Dark Chocolate"/>
    <s v="DarkMagic"/>
    <n v="67"/>
    <n v="385"/>
    <n v="25795"/>
    <x v="3"/>
  </r>
  <r>
    <s v="ORD2175"/>
    <x v="1175"/>
    <s v="UAE"/>
    <s v="Sharjah"/>
    <s v="Customer_867"/>
    <x v="6"/>
    <s v="Premium Truffle"/>
    <s v="ChocoLuxe"/>
    <n v="306"/>
    <n v="208"/>
    <n v="63648"/>
    <x v="0"/>
  </r>
  <r>
    <s v="ORD2176"/>
    <x v="1176"/>
    <s v="UK"/>
    <s v="London"/>
    <s v="Customer_570"/>
    <x v="4"/>
    <s v="Milk Chocolate"/>
    <s v="CrunchyJoy"/>
    <n v="143"/>
    <n v="358"/>
    <n v="51194"/>
    <x v="2"/>
  </r>
  <r>
    <s v="ORD2177"/>
    <x v="1177"/>
    <s v="UK"/>
    <s v="Liverpool"/>
    <s v="Customer_682"/>
    <x v="1"/>
    <s v="Premium Truffle"/>
    <s v="TruffleBite"/>
    <n v="340"/>
    <n v="411"/>
    <n v="139740"/>
    <x v="0"/>
  </r>
  <r>
    <s v="ORD2178"/>
    <x v="1178"/>
    <s v="UAE"/>
    <s v="Dubai"/>
    <s v="Customer_903"/>
    <x v="1"/>
    <s v="Milk Chocolate"/>
    <s v="MilkyBar"/>
    <n v="258"/>
    <n v="458"/>
    <n v="118164"/>
    <x v="1"/>
  </r>
  <r>
    <s v="ORD2179"/>
    <x v="1179"/>
    <s v="Australia"/>
    <s v="Sydney"/>
    <s v="Customer_290"/>
    <x v="3"/>
    <s v="Milk Chocolate"/>
    <s v="CocoaTreat"/>
    <n v="47"/>
    <n v="349"/>
    <n v="16403"/>
    <x v="3"/>
  </r>
  <r>
    <s v="ORD2180"/>
    <x v="1180"/>
    <s v="Germany"/>
    <s v="Berlin"/>
    <s v="Customer_125"/>
    <x v="2"/>
    <s v="Nutty Delight"/>
    <s v="CocoaTreat"/>
    <n v="399"/>
    <n v="445"/>
    <n v="177555"/>
    <x v="1"/>
  </r>
  <r>
    <s v="ORD2181"/>
    <x v="1181"/>
    <s v="UAE"/>
    <s v="Sharjah"/>
    <s v="Customer_705"/>
    <x v="7"/>
    <s v="Milk Chocolate"/>
    <s v="CrunchyJoy"/>
    <n v="438"/>
    <n v="139"/>
    <n v="60882"/>
    <x v="2"/>
  </r>
  <r>
    <s v="ORD2182"/>
    <x v="1182"/>
    <s v="Canada"/>
    <s v="Montreal"/>
    <s v="Customer_164"/>
    <x v="8"/>
    <s v="Milk Chocolate"/>
    <s v="TruffleBite"/>
    <n v="84"/>
    <n v="406"/>
    <n v="34104"/>
    <x v="0"/>
  </r>
  <r>
    <s v="ORD2183"/>
    <x v="1183"/>
    <s v="USA"/>
    <s v="Houston"/>
    <s v="Customer_933"/>
    <x v="5"/>
    <s v="White Chocolate"/>
    <s v="CrunchyJoy"/>
    <n v="151"/>
    <n v="305"/>
    <n v="46055"/>
    <x v="0"/>
  </r>
  <r>
    <s v="ORD2184"/>
    <x v="1184"/>
    <s v="Germany"/>
    <s v="Frankfurt"/>
    <s v="Customer_242"/>
    <x v="7"/>
    <s v="Premium Truffle"/>
    <s v="Silk"/>
    <n v="331"/>
    <n v="402"/>
    <n v="133062"/>
    <x v="1"/>
  </r>
  <r>
    <s v="ORD2185"/>
    <x v="1185"/>
    <s v="Germany"/>
    <s v="Berlin"/>
    <s v="Customer_405"/>
    <x v="3"/>
    <s v="White Chocolate"/>
    <s v="CrunchyJoy"/>
    <n v="177"/>
    <n v="269"/>
    <n v="47613"/>
    <x v="1"/>
  </r>
  <r>
    <s v="ORD2186"/>
    <x v="1186"/>
    <s v="UK"/>
    <s v="Liverpool"/>
    <s v="Customer_346"/>
    <x v="5"/>
    <s v="Milk Chocolate"/>
    <s v="DarkMagic"/>
    <n v="268"/>
    <n v="58"/>
    <n v="15544"/>
    <x v="2"/>
  </r>
  <r>
    <s v="ORD2187"/>
    <x v="1187"/>
    <s v="Germany"/>
    <s v="Munich"/>
    <s v="Customer_555"/>
    <x v="2"/>
    <s v="Nutty Delight"/>
    <s v="ChocoLuxe"/>
    <n v="382"/>
    <n v="61"/>
    <n v="23302"/>
    <x v="3"/>
  </r>
  <r>
    <s v="ORD2188"/>
    <x v="1188"/>
    <s v="UAE"/>
    <s v="Abu Dhabi"/>
    <s v="Customer_383"/>
    <x v="3"/>
    <s v="White Chocolate"/>
    <s v="CocoaTreat"/>
    <n v="364"/>
    <n v="374"/>
    <n v="136136"/>
    <x v="2"/>
  </r>
  <r>
    <s v="ORD2189"/>
    <x v="1189"/>
    <s v="Canada"/>
    <s v="Vancouver"/>
    <s v="Customer_388"/>
    <x v="5"/>
    <s v="White Chocolate"/>
    <s v="CrunchyJoy"/>
    <n v="234"/>
    <n v="487"/>
    <n v="113958"/>
    <x v="3"/>
  </r>
  <r>
    <s v="ORD2190"/>
    <x v="1190"/>
    <s v="Canada"/>
    <s v="Toronto"/>
    <s v="Customer_855"/>
    <x v="2"/>
    <s v="Dark Chocolate"/>
    <s v="CocoaTreat"/>
    <n v="161"/>
    <n v="293"/>
    <n v="47173"/>
    <x v="0"/>
  </r>
  <r>
    <s v="ORD2191"/>
    <x v="1191"/>
    <s v="India"/>
    <s v="Chennai"/>
    <s v="Customer_830"/>
    <x v="9"/>
    <s v="Milk Chocolate"/>
    <s v="SweetNuts"/>
    <n v="28"/>
    <n v="231"/>
    <n v="6468"/>
    <x v="3"/>
  </r>
  <r>
    <s v="ORD2192"/>
    <x v="1192"/>
    <s v="Canada"/>
    <s v="Calgary"/>
    <s v="Customer_895"/>
    <x v="7"/>
    <s v="Nutty Delight"/>
    <s v="TruffleBite"/>
    <n v="155"/>
    <n v="333"/>
    <n v="51615"/>
    <x v="3"/>
  </r>
  <r>
    <s v="ORD2193"/>
    <x v="1193"/>
    <s v="Canada"/>
    <s v="Vancouver"/>
    <s v="Customer_656"/>
    <x v="7"/>
    <s v="White Chocolate"/>
    <s v="CrunchyJoy"/>
    <n v="457"/>
    <n v="361"/>
    <n v="164977"/>
    <x v="0"/>
  </r>
  <r>
    <s v="ORD2194"/>
    <x v="1194"/>
    <s v="UK"/>
    <s v="London"/>
    <s v="Customer_531"/>
    <x v="8"/>
    <s v="White Chocolate"/>
    <s v="ChocoLuxe"/>
    <n v="250"/>
    <n v="148"/>
    <n v="37000"/>
    <x v="0"/>
  </r>
  <r>
    <s v="ORD2195"/>
    <x v="1195"/>
    <s v="Canada"/>
    <s v="Toronto"/>
    <s v="Customer_796"/>
    <x v="2"/>
    <s v="Nutty Delight"/>
    <s v="DarkMagic"/>
    <n v="381"/>
    <n v="246"/>
    <n v="93726"/>
    <x v="0"/>
  </r>
  <r>
    <s v="ORD2196"/>
    <x v="1196"/>
    <s v="India"/>
    <s v="Bangalore"/>
    <s v="Customer_484"/>
    <x v="4"/>
    <s v="Milk Chocolate"/>
    <s v="Silk"/>
    <n v="390"/>
    <n v="415"/>
    <n v="161850"/>
    <x v="2"/>
  </r>
  <r>
    <s v="ORD2197"/>
    <x v="1197"/>
    <s v="USA"/>
    <s v="San Francisco"/>
    <s v="Customer_679"/>
    <x v="9"/>
    <s v="Dark Chocolate"/>
    <s v="CocoaTreat"/>
    <n v="353"/>
    <n v="275"/>
    <n v="97075"/>
    <x v="0"/>
  </r>
  <r>
    <s v="ORD2198"/>
    <x v="1198"/>
    <s v="UAE"/>
    <s v="Dubai"/>
    <s v="Customer_672"/>
    <x v="0"/>
    <s v="White Chocolate"/>
    <s v="TruffleBite"/>
    <n v="246"/>
    <n v="382"/>
    <n v="93972"/>
    <x v="1"/>
  </r>
  <r>
    <s v="ORD2199"/>
    <x v="1199"/>
    <s v="UK"/>
    <s v="Birmingham"/>
    <s v="Customer_364"/>
    <x v="5"/>
    <s v="Dark Chocolate"/>
    <s v="MilkyBar"/>
    <n v="44"/>
    <n v="152"/>
    <n v="6688"/>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46B56E-2059-4334-956F-99510E1FEE96}"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J43:K53" firstHeaderRow="1" firstDataRow="1" firstDataCol="1"/>
  <pivotFields count="15">
    <pivotField showAll="0"/>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showAll="0"/>
    <pivotField showAll="0"/>
    <pivotField axis="axisRow" showAll="0">
      <items count="11">
        <item x="1"/>
        <item x="6"/>
        <item x="7"/>
        <item x="9"/>
        <item x="3"/>
        <item x="5"/>
        <item x="2"/>
        <item x="0"/>
        <item x="4"/>
        <item x="8"/>
        <item t="default"/>
      </items>
    </pivotField>
    <pivotField showAll="0"/>
    <pivotField showAll="0"/>
    <pivotField showAll="0"/>
    <pivotField numFmtId="165" showAll="0"/>
    <pivotField dataField="1" numFmtId="165" showAll="0"/>
    <pivotField showAll="0"/>
    <pivotField showAll="0" defaultSubtotal="0"/>
    <pivotField showAll="0" defaultSubtotal="0"/>
    <pivotField showAll="0" defaultSubtotal="0">
      <items count="6">
        <item x="0"/>
        <item x="1"/>
        <item x="2"/>
        <item x="3"/>
        <item x="4"/>
        <item x="5"/>
      </items>
    </pivotField>
  </pivotFields>
  <rowFields count="1">
    <field x="5"/>
  </rowFields>
  <rowItems count="10">
    <i>
      <x/>
    </i>
    <i>
      <x v="1"/>
    </i>
    <i>
      <x v="2"/>
    </i>
    <i>
      <x v="3"/>
    </i>
    <i>
      <x v="4"/>
    </i>
    <i>
      <x v="5"/>
    </i>
    <i>
      <x v="6"/>
    </i>
    <i>
      <x v="7"/>
    </i>
    <i>
      <x v="8"/>
    </i>
    <i>
      <x v="9"/>
    </i>
  </rowItems>
  <colItems count="1">
    <i/>
  </colItems>
  <dataFields count="1">
    <dataField name="Sum of Total Amount (INR)" fld="10" baseField="0" baseItem="0" numFmtId="165"/>
  </dataFields>
  <formats count="5">
    <format dxfId="4">
      <pivotArea type="all" dataOnly="0" outline="0" fieldPosition="0"/>
    </format>
    <format dxfId="3">
      <pivotArea outline="0" collapsedLevelsAreSubtotals="1" fieldPosition="0"/>
    </format>
    <format dxfId="2">
      <pivotArea field="5" type="button" dataOnly="0" labelOnly="1" outline="0" axis="axisRow" fieldPosition="0"/>
    </format>
    <format dxfId="1">
      <pivotArea dataOnly="0" labelOnly="1" fieldPosition="0">
        <references count="1">
          <reference field="5" count="0"/>
        </references>
      </pivotArea>
    </format>
    <format dxfId="0">
      <pivotArea dataOnly="0" labelOnly="1" outline="0" axis="axisValues" fieldPosition="0"/>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1D330F-D6F9-4779-8DB4-209BEA4AC3B9}" name="PivotTable2"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4">
  <location ref="A26:B32" firstHeaderRow="1" firstDataRow="1" firstDataCol="1"/>
  <pivotFields count="2">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1"/>
    </i>
    <i>
      <x v="4"/>
    </i>
    <i>
      <x v="2"/>
    </i>
    <i>
      <x/>
    </i>
    <i>
      <x v="3"/>
    </i>
    <i t="grand">
      <x/>
    </i>
  </rowItems>
  <colItems count="1">
    <i/>
  </colItems>
  <dataFields count="1">
    <dataField name="Sum of Total Amount (INR)" fld="1" baseField="0" baseItem="0" numFmtId="165"/>
  </dataFields>
  <chartFormats count="1">
    <chartFormat chart="33" format="2" series="1">
      <pivotArea type="data" outline="0" fieldPosition="0">
        <references count="1">
          <reference field="4294967294" count="1" selected="0">
            <x v="0"/>
          </reference>
        </references>
      </pivotArea>
    </chartFormat>
  </chartFormats>
  <pivotHierarchies count="15">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tail_Chocolate_Sales_India_Globa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8DDDAC-6673-415D-9BC7-EA71C6AAE182}" name="PivotTable1"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5">
  <location ref="A3:B11" firstHeaderRow="1" firstDataRow="1" firstDataCol="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3"/>
    </i>
    <i>
      <x v="2"/>
    </i>
    <i>
      <x v="4"/>
    </i>
    <i>
      <x v="1"/>
    </i>
    <i>
      <x/>
    </i>
    <i>
      <x v="6"/>
    </i>
    <i>
      <x v="5"/>
    </i>
    <i t="grand">
      <x/>
    </i>
  </rowItems>
  <colItems count="1">
    <i/>
  </colItems>
  <dataFields count="1">
    <dataField name="Sum of Total Amount (INR)" fld="1" baseField="0" baseItem="0" numFmtId="42"/>
  </dataFields>
  <chartFormats count="1">
    <chartFormat chart="24" format="2" series="1">
      <pivotArea type="data" outline="0" fieldPosition="0">
        <references count="1">
          <reference field="4294967294" count="1" selected="0">
            <x v="0"/>
          </reference>
        </references>
      </pivotArea>
    </chartFormat>
  </chartFormats>
  <pivotHierarchies count="15">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tail_Chocolate_Sales_India_Globa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296A148-A6EF-4B70-925A-F4ED16CCF6A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26:C31" firstHeaderRow="1" firstDataRow="1" firstDataCol="1"/>
  <pivotFields count="15">
    <pivotField showAll="0"/>
    <pivotField axis="axisRow"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showAll="0"/>
    <pivotField showAll="0"/>
    <pivotField showAll="0"/>
    <pivotField showAll="0"/>
    <pivotField showAll="0"/>
    <pivotField showAll="0"/>
    <pivotField numFmtId="165" showAll="0"/>
    <pivotField dataField="1" numFmtId="165"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h="1" sd="0" x="0"/>
        <item sd="0" x="1"/>
        <item sd="0" x="2"/>
        <item sd="0" x="3"/>
        <item sd="0" x="4"/>
        <item h="1" sd="0" x="5"/>
        <item t="default"/>
      </items>
    </pivotField>
  </pivotFields>
  <rowFields count="2">
    <field x="14"/>
    <field x="1"/>
  </rowFields>
  <rowItems count="5">
    <i>
      <x v="1"/>
    </i>
    <i>
      <x v="2"/>
    </i>
    <i>
      <x v="3"/>
    </i>
    <i>
      <x v="4"/>
    </i>
    <i t="grand">
      <x/>
    </i>
  </rowItems>
  <colItems count="1">
    <i/>
  </colItems>
  <dataFields count="1">
    <dataField name="Sum of Total Amount (INR)" fld="10" baseField="0" baseItem="0" numFmtId="165"/>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740FB1D-0F2C-4FD1-A67C-EA0C2C6F225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15">
    <pivotField dataField="1" showAll="0"/>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showAll="0"/>
    <pivotField showAll="0"/>
    <pivotField showAll="0"/>
    <pivotField showAll="0"/>
    <pivotField showAll="0"/>
    <pivotField showAll="0"/>
    <pivotField numFmtId="165" showAll="0"/>
    <pivotField numFmtId="165" showAll="0"/>
    <pivotField axis="axisRow" showAll="0">
      <items count="5">
        <item x="2"/>
        <item x="1"/>
        <item x="0"/>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1"/>
  </rowFields>
  <rowItems count="5">
    <i>
      <x/>
    </i>
    <i>
      <x v="1"/>
    </i>
    <i>
      <x v="2"/>
    </i>
    <i>
      <x v="3"/>
    </i>
    <i t="grand">
      <x/>
    </i>
  </rowItems>
  <colItems count="1">
    <i/>
  </colItems>
  <dataFields count="1">
    <dataField name="Count of Order ID" fld="0" subtotal="count" baseField="0" baseItem="0"/>
  </dataFields>
  <chartFormats count="5">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1" count="1" selected="0">
            <x v="0"/>
          </reference>
        </references>
      </pivotArea>
    </chartFormat>
    <chartFormat chart="7" format="8">
      <pivotArea type="data" outline="0" fieldPosition="0">
        <references count="2">
          <reference field="4294967294" count="1" selected="0">
            <x v="0"/>
          </reference>
          <reference field="11" count="1" selected="0">
            <x v="1"/>
          </reference>
        </references>
      </pivotArea>
    </chartFormat>
    <chartFormat chart="7" format="9">
      <pivotArea type="data" outline="0" fieldPosition="0">
        <references count="2">
          <reference field="4294967294" count="1" selected="0">
            <x v="0"/>
          </reference>
          <reference field="11" count="1" selected="0">
            <x v="2"/>
          </reference>
        </references>
      </pivotArea>
    </chartFormat>
    <chartFormat chart="7" format="10">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5BCC5456-FD55-4D7B-BCA3-9034F3663598}" sourceName="Years (Order Date)">
  <pivotTables>
    <pivotTable tabId="4" name="PivotTable4"/>
  </pivotTables>
  <data>
    <tabular pivotCacheId="1097415628">
      <items count="6">
        <i x="1" s="1"/>
        <i x="2" s="1"/>
        <i x="3" s="1"/>
        <i x="4" s="1"/>
        <i x="0" nd="1"/>
        <i x="5"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21CBCF63-DE15-462F-8D9C-9757417527D5}" sourceName="[Table1].[Salesperson]">
  <pivotTables>
    <pivotTable tabId="3" name="PivotTable1"/>
  </pivotTables>
  <data>
    <olap pivotCacheId="1318602150">
      <levels count="2">
        <level uniqueName="[Table1].[Salesperson].[(All)]" sourceCaption="(All)" count="0"/>
        <level uniqueName="[Table1].[Salesperson].[Salesperson]" sourceCaption="Salesperson" count="10">
          <ranges>
            <range startItem="0">
              <i n="[Table1].[Salesperson].&amp;[Amit Sharma]" c="Amit Sharma"/>
              <i n="[Table1].[Salesperson].&amp;[Anjali Singh]" c="Anjali Singh"/>
              <i n="[Table1].[Salesperson].&amp;[Karan Mehta]" c="Karan Mehta"/>
              <i n="[Table1].[Salesperson].&amp;[Meera Rao]" c="Meera Rao"/>
              <i n="[Table1].[Salesperson].&amp;[Pooja Joshi]" c="Pooja Joshi"/>
              <i n="[Table1].[Salesperson].&amp;[Priya Nair]" c="Priya Nair"/>
              <i n="[Table1].[Salesperson].&amp;[Rahul Verma]" c="Rahul Verma"/>
              <i n="[Table1].[Salesperson].&amp;[Rohan Das]" c="Rohan Das"/>
              <i n="[Table1].[Salesperson].&amp;[Sneha Iyer]" c="Sneha Iyer"/>
              <i n="[Table1].[Salesperson].&amp;[Vikram Patel]" c="Vikram Patel"/>
            </range>
          </ranges>
        </level>
      </levels>
      <selections count="1">
        <selection n="[Table1].[Salespers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27E25806-5649-427D-B7F2-98CB37DF15F9}" sourceName="[Table1].[Country]">
  <pivotTables>
    <pivotTable tabId="3" name="PivotTable1"/>
    <pivotTable tabId="3" name="PivotTable2"/>
  </pivotTables>
  <data>
    <olap pivotCacheId="1318602150">
      <levels count="2">
        <level uniqueName="[Table1].[Country].[(All)]" sourceCaption="(All)" count="0"/>
        <level uniqueName="[Table1].[Country].[Country]" sourceCaption="Country" count="7">
          <ranges>
            <range startItem="0">
              <i n="[Table1].[Country].&amp;[Australia]" c="Australia"/>
              <i n="[Table1].[Country].&amp;[Canada]" c="Canada"/>
              <i n="[Table1].[Country].&amp;[Germany]" c="Germany"/>
              <i n="[Table1].[Country].&amp;[India]" c="India"/>
              <i n="[Table1].[Country].&amp;[UAE]" c="UAE"/>
              <i n="[Table1].[Country].&amp;[UK]" c="UK"/>
              <i n="[Table1].[Country].&amp;[USA]" c="USA"/>
            </range>
          </ranges>
        </level>
      </levels>
      <selections count="1">
        <selection n="[Table1].[Count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E6D72965-CF4C-459A-BE95-81C324B2A498}" sourceName="[Table1].[Product Category]">
  <pivotTables>
    <pivotTable tabId="3" name="PivotTable1"/>
    <pivotTable tabId="3" name="PivotTable2"/>
  </pivotTables>
  <data>
    <olap pivotCacheId="1318602150">
      <levels count="2">
        <level uniqueName="[Table1].[Product Category].[(All)]" sourceCaption="(All)" count="0"/>
        <level uniqueName="[Table1].[Product Category].[Product Category]" sourceCaption="Product Category" count="5">
          <ranges>
            <range startItem="0">
              <i n="[Table1].[Product Category].&amp;[Dark Chocolate]" c="Dark Chocolate"/>
              <i n="[Table1].[Product Category].&amp;[Milk Chocolate]" c="Milk Chocolate"/>
              <i n="[Table1].[Product Category].&amp;[Nutty Delight]" c="Nutty Delight"/>
              <i n="[Table1].[Product Category].&amp;[Premium Truffle]" c="Premium Truffle"/>
              <i n="[Table1].[Product Category].&amp;[White Chocolate]" c="White Chocolate"/>
            </range>
          </ranges>
        </level>
      </levels>
      <selections count="1">
        <selection n="[Table1].[Product 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xr10:uid="{DB8A15CD-6829-429F-B038-3FB63E1BE83A}" cache="Slicer_Years__Order_Date" caption="Years (Order Date)" style="SlicerStyleLight2" rowHeight="241300"/>
  <slicer name="Salesperson" xr10:uid="{8400DE5F-1814-4E5D-92A2-C67007D0BF06}" cache="Slicer_Salesperson" caption="Salesperson" level="1" style="SlicerStyleLight6" rowHeight="241300"/>
  <slicer name="Country" xr10:uid="{8C3B219A-F597-478A-B394-897C9D3C8051}" cache="Slicer_Country" caption="Country" level="1" style="SlicerStyleLight2" rowHeight="241300"/>
  <slicer name="Product Category" xr10:uid="{9CBEEAF8-325B-46CC-A740-2EF121006D9B}" cache="Slicer_Product_Category" caption="Product Category" startItem="2" level="1"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000A66-EEBB-4D03-9278-1ABCD7E53EE2}" name="Table1" displayName="Table1" ref="A1:L1201" totalsRowShown="0" headerRowDxfId="11" headerRowBorderDxfId="10" tableBorderDxfId="9">
  <autoFilter ref="A1:L1201" xr:uid="{F0000A66-EEBB-4D03-9278-1ABCD7E53EE2}"/>
  <tableColumns count="12">
    <tableColumn id="1" xr3:uid="{97E34287-7E6E-42EB-A7B8-95222E411942}" name="Order ID"/>
    <tableColumn id="2" xr3:uid="{95004D8E-7372-470C-A8F1-FF4C4A5C6A11}" name="Order Date" dataDxfId="8"/>
    <tableColumn id="3" xr3:uid="{AE69FB5F-CFF3-4CBC-A5EA-366D635986BE}" name="Country"/>
    <tableColumn id="4" xr3:uid="{C410FB33-E200-43BD-A498-C0CA12176A54}" name="City"/>
    <tableColumn id="5" xr3:uid="{19712B04-B707-4677-95D4-5A9C4E60C413}" name="Customer Name"/>
    <tableColumn id="6" xr3:uid="{BD705105-3A12-4491-9B69-858970033E45}" name="Salesperson"/>
    <tableColumn id="7" xr3:uid="{68C23F1D-CDF3-4F54-946D-7AFD5A61A475}" name="Product Category"/>
    <tableColumn id="8" xr3:uid="{BCE87697-AA54-4AE6-9E5C-30D89BA003F4}" name="Product Name"/>
    <tableColumn id="9" xr3:uid="{89B64880-4DAB-4622-97CC-A385E3D1FD56}" name="Quantity Sold" dataDxfId="7"/>
    <tableColumn id="10" xr3:uid="{67459660-73AA-4DF9-978B-F21F000F83DC}" name="Unit Price (INR)" dataDxfId="6"/>
    <tableColumn id="13" xr3:uid="{5D6826C9-2B7B-4E5D-8B13-BB1DE29D1F2A}" name="Total Amount (INR)" dataDxfId="5">
      <calculatedColumnFormula>Table1[[#This Row],[Quantity Sold]]*Table1[[#This Row],[Unit Price (INR)]]</calculatedColumnFormula>
    </tableColumn>
    <tableColumn id="11" xr3:uid="{4AB7FE2A-14F3-4483-938C-0B95D0480927}" name="Payment Mode"/>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03"/>
  <sheetViews>
    <sheetView topLeftCell="A1192" workbookViewId="0">
      <selection activeCell="C1203" sqref="C1203"/>
    </sheetView>
  </sheetViews>
  <sheetFormatPr defaultRowHeight="14.5" x14ac:dyDescent="0.35"/>
  <cols>
    <col min="1" max="1" width="10" customWidth="1"/>
    <col min="2" max="2" width="16.7265625" customWidth="1"/>
    <col min="3" max="3" width="10.6328125" customWidth="1"/>
    <col min="4" max="4" width="11.1796875" customWidth="1"/>
    <col min="5" max="5" width="16.36328125" customWidth="1"/>
    <col min="6" max="6" width="12.81640625" customWidth="1"/>
    <col min="7" max="7" width="17.36328125" customWidth="1"/>
    <col min="8" max="8" width="14.81640625" customWidth="1"/>
    <col min="9" max="9" width="14.1796875" customWidth="1"/>
    <col min="10" max="10" width="15.54296875" customWidth="1"/>
    <col min="11" max="11" width="18.90625" customWidth="1"/>
    <col min="12" max="12" width="15.6328125" customWidth="1"/>
  </cols>
  <sheetData>
    <row r="1" spans="1:12" x14ac:dyDescent="0.35">
      <c r="A1" s="1" t="s">
        <v>0</v>
      </c>
      <c r="B1" s="1" t="s">
        <v>1</v>
      </c>
      <c r="C1" s="1" t="s">
        <v>2</v>
      </c>
      <c r="D1" s="1" t="s">
        <v>3</v>
      </c>
      <c r="E1" s="1" t="s">
        <v>4</v>
      </c>
      <c r="F1" s="1" t="s">
        <v>5</v>
      </c>
      <c r="G1" s="1" t="s">
        <v>6</v>
      </c>
      <c r="H1" s="1" t="s">
        <v>7</v>
      </c>
      <c r="I1" s="1" t="s">
        <v>8</v>
      </c>
      <c r="J1" s="1" t="s">
        <v>9</v>
      </c>
      <c r="K1" s="1" t="s">
        <v>1924</v>
      </c>
      <c r="L1" s="1" t="s">
        <v>10</v>
      </c>
    </row>
    <row r="2" spans="1:12" x14ac:dyDescent="0.35">
      <c r="A2" t="s">
        <v>11</v>
      </c>
      <c r="B2" s="5">
        <v>45508</v>
      </c>
      <c r="C2" t="s">
        <v>1211</v>
      </c>
      <c r="D2" t="s">
        <v>1218</v>
      </c>
      <c r="E2" t="s">
        <v>1247</v>
      </c>
      <c r="F2" t="s">
        <v>1897</v>
      </c>
      <c r="G2" t="s">
        <v>1907</v>
      </c>
      <c r="H2" t="s">
        <v>1912</v>
      </c>
      <c r="I2" s="4">
        <v>467</v>
      </c>
      <c r="J2" s="3">
        <v>239</v>
      </c>
      <c r="K2" s="3">
        <f>Table1[[#This Row],[Quantity Sold]]*Table1[[#This Row],[Unit Price (INR)]]</f>
        <v>111613</v>
      </c>
      <c r="L2" t="s">
        <v>1920</v>
      </c>
    </row>
    <row r="3" spans="1:12" x14ac:dyDescent="0.35">
      <c r="A3" t="s">
        <v>12</v>
      </c>
      <c r="B3" s="5">
        <v>45509</v>
      </c>
      <c r="C3" t="s">
        <v>1212</v>
      </c>
      <c r="D3" t="s">
        <v>1219</v>
      </c>
      <c r="E3" t="s">
        <v>1248</v>
      </c>
      <c r="F3" t="s">
        <v>1898</v>
      </c>
      <c r="G3" t="s">
        <v>1908</v>
      </c>
      <c r="H3" t="s">
        <v>1912</v>
      </c>
      <c r="I3" s="4">
        <v>239</v>
      </c>
      <c r="J3" s="3">
        <v>50</v>
      </c>
      <c r="K3" s="3">
        <f>Table1[[#This Row],[Quantity Sold]]*Table1[[#This Row],[Unit Price (INR)]]</f>
        <v>11950</v>
      </c>
      <c r="L3" t="s">
        <v>1921</v>
      </c>
    </row>
    <row r="4" spans="1:12" x14ac:dyDescent="0.35">
      <c r="A4" t="s">
        <v>13</v>
      </c>
      <c r="B4" s="5">
        <v>45510</v>
      </c>
      <c r="C4" t="s">
        <v>1213</v>
      </c>
      <c r="D4" t="s">
        <v>1220</v>
      </c>
      <c r="E4" t="s">
        <v>1249</v>
      </c>
      <c r="F4" t="s">
        <v>1898</v>
      </c>
      <c r="G4" t="s">
        <v>1909</v>
      </c>
      <c r="H4" t="s">
        <v>1913</v>
      </c>
      <c r="I4" s="4">
        <v>155</v>
      </c>
      <c r="J4" s="3">
        <v>202</v>
      </c>
      <c r="K4" s="3">
        <f>Table1[[#This Row],[Quantity Sold]]*Table1[[#This Row],[Unit Price (INR)]]</f>
        <v>31310</v>
      </c>
      <c r="L4" t="s">
        <v>1922</v>
      </c>
    </row>
    <row r="5" spans="1:12" x14ac:dyDescent="0.35">
      <c r="A5" t="s">
        <v>14</v>
      </c>
      <c r="B5" s="5">
        <v>45511</v>
      </c>
      <c r="C5" t="s">
        <v>1211</v>
      </c>
      <c r="D5" t="s">
        <v>1221</v>
      </c>
      <c r="E5" t="s">
        <v>1250</v>
      </c>
      <c r="F5" t="s">
        <v>1899</v>
      </c>
      <c r="G5" t="s">
        <v>1910</v>
      </c>
      <c r="H5" t="s">
        <v>1913</v>
      </c>
      <c r="I5" s="4">
        <v>379</v>
      </c>
      <c r="J5" s="3">
        <v>478</v>
      </c>
      <c r="K5" s="3">
        <f>Table1[[#This Row],[Quantity Sold]]*Table1[[#This Row],[Unit Price (INR)]]</f>
        <v>181162</v>
      </c>
      <c r="L5" t="s">
        <v>1920</v>
      </c>
    </row>
    <row r="6" spans="1:12" x14ac:dyDescent="0.35">
      <c r="A6" t="s">
        <v>15</v>
      </c>
      <c r="B6" s="5">
        <v>45512</v>
      </c>
      <c r="C6" t="s">
        <v>1214</v>
      </c>
      <c r="D6" t="s">
        <v>1222</v>
      </c>
      <c r="E6" t="s">
        <v>1251</v>
      </c>
      <c r="F6" t="s">
        <v>1900</v>
      </c>
      <c r="G6" t="s">
        <v>1910</v>
      </c>
      <c r="H6" t="s">
        <v>1914</v>
      </c>
      <c r="I6" s="4">
        <v>206</v>
      </c>
      <c r="J6" s="3">
        <v>482</v>
      </c>
      <c r="K6" s="3">
        <f>Table1[[#This Row],[Quantity Sold]]*Table1[[#This Row],[Unit Price (INR)]]</f>
        <v>99292</v>
      </c>
      <c r="L6" t="s">
        <v>1920</v>
      </c>
    </row>
    <row r="7" spans="1:12" x14ac:dyDescent="0.35">
      <c r="A7" t="s">
        <v>16</v>
      </c>
      <c r="B7" s="5">
        <v>45513</v>
      </c>
      <c r="C7" t="s">
        <v>1213</v>
      </c>
      <c r="D7" t="s">
        <v>1223</v>
      </c>
      <c r="E7" t="s">
        <v>1252</v>
      </c>
      <c r="F7" t="s">
        <v>1901</v>
      </c>
      <c r="G7" t="s">
        <v>1911</v>
      </c>
      <c r="H7" t="s">
        <v>1915</v>
      </c>
      <c r="I7" s="4">
        <v>382</v>
      </c>
      <c r="J7" s="3">
        <v>175</v>
      </c>
      <c r="K7" s="3">
        <f>Table1[[#This Row],[Quantity Sold]]*Table1[[#This Row],[Unit Price (INR)]]</f>
        <v>66850</v>
      </c>
      <c r="L7" t="s">
        <v>1923</v>
      </c>
    </row>
    <row r="8" spans="1:12" x14ac:dyDescent="0.35">
      <c r="A8" t="s">
        <v>17</v>
      </c>
      <c r="B8" s="5">
        <v>45514</v>
      </c>
      <c r="C8" t="s">
        <v>1213</v>
      </c>
      <c r="D8" t="s">
        <v>1223</v>
      </c>
      <c r="E8" t="s">
        <v>1253</v>
      </c>
      <c r="F8" t="s">
        <v>1897</v>
      </c>
      <c r="G8" t="s">
        <v>1908</v>
      </c>
      <c r="H8" t="s">
        <v>1916</v>
      </c>
      <c r="I8" s="4">
        <v>230</v>
      </c>
      <c r="J8" s="3">
        <v>394</v>
      </c>
      <c r="K8" s="3">
        <f>Table1[[#This Row],[Quantity Sold]]*Table1[[#This Row],[Unit Price (INR)]]</f>
        <v>90620</v>
      </c>
      <c r="L8" t="s">
        <v>1920</v>
      </c>
    </row>
    <row r="9" spans="1:12" x14ac:dyDescent="0.35">
      <c r="A9" t="s">
        <v>18</v>
      </c>
      <c r="B9" s="5">
        <v>45515</v>
      </c>
      <c r="C9" t="s">
        <v>1211</v>
      </c>
      <c r="D9" t="s">
        <v>1224</v>
      </c>
      <c r="E9" t="s">
        <v>1254</v>
      </c>
      <c r="F9" t="s">
        <v>1902</v>
      </c>
      <c r="G9" t="s">
        <v>1908</v>
      </c>
      <c r="H9" t="s">
        <v>1912</v>
      </c>
      <c r="I9" s="4">
        <v>432</v>
      </c>
      <c r="J9" s="3">
        <v>449</v>
      </c>
      <c r="K9" s="3">
        <f>Table1[[#This Row],[Quantity Sold]]*Table1[[#This Row],[Unit Price (INR)]]</f>
        <v>193968</v>
      </c>
      <c r="L9" t="s">
        <v>1920</v>
      </c>
    </row>
    <row r="10" spans="1:12" x14ac:dyDescent="0.35">
      <c r="A10" t="s">
        <v>19</v>
      </c>
      <c r="B10" s="5">
        <v>45516</v>
      </c>
      <c r="C10" t="s">
        <v>1215</v>
      </c>
      <c r="D10" t="s">
        <v>1225</v>
      </c>
      <c r="E10" t="s">
        <v>1255</v>
      </c>
      <c r="F10" t="s">
        <v>1903</v>
      </c>
      <c r="G10" t="s">
        <v>1910</v>
      </c>
      <c r="H10" t="s">
        <v>1914</v>
      </c>
      <c r="I10" s="4">
        <v>69</v>
      </c>
      <c r="J10" s="3">
        <v>275</v>
      </c>
      <c r="K10" s="3">
        <f>Table1[[#This Row],[Quantity Sold]]*Table1[[#This Row],[Unit Price (INR)]]</f>
        <v>18975</v>
      </c>
      <c r="L10" t="s">
        <v>1922</v>
      </c>
    </row>
    <row r="11" spans="1:12" x14ac:dyDescent="0.35">
      <c r="A11" t="s">
        <v>20</v>
      </c>
      <c r="B11" s="5">
        <v>45517</v>
      </c>
      <c r="C11" t="s">
        <v>1214</v>
      </c>
      <c r="D11" t="s">
        <v>1226</v>
      </c>
      <c r="E11" t="s">
        <v>1256</v>
      </c>
      <c r="F11" t="s">
        <v>1902</v>
      </c>
      <c r="G11" t="s">
        <v>1907</v>
      </c>
      <c r="H11" t="s">
        <v>1915</v>
      </c>
      <c r="I11" s="4">
        <v>107</v>
      </c>
      <c r="J11" s="3">
        <v>270</v>
      </c>
      <c r="K11" s="3">
        <f>Table1[[#This Row],[Quantity Sold]]*Table1[[#This Row],[Unit Price (INR)]]</f>
        <v>28890</v>
      </c>
      <c r="L11" t="s">
        <v>1921</v>
      </c>
    </row>
    <row r="12" spans="1:12" x14ac:dyDescent="0.35">
      <c r="A12" t="s">
        <v>21</v>
      </c>
      <c r="B12" s="5">
        <v>45518</v>
      </c>
      <c r="C12" t="s">
        <v>1211</v>
      </c>
      <c r="D12" t="s">
        <v>1221</v>
      </c>
      <c r="E12" t="s">
        <v>1257</v>
      </c>
      <c r="F12" t="s">
        <v>1904</v>
      </c>
      <c r="G12" t="s">
        <v>1909</v>
      </c>
      <c r="H12" t="s">
        <v>1914</v>
      </c>
      <c r="I12" s="4">
        <v>180</v>
      </c>
      <c r="J12" s="3">
        <v>452</v>
      </c>
      <c r="K12" s="3">
        <f>Table1[[#This Row],[Quantity Sold]]*Table1[[#This Row],[Unit Price (INR)]]</f>
        <v>81360</v>
      </c>
      <c r="L12" t="s">
        <v>1921</v>
      </c>
    </row>
    <row r="13" spans="1:12" x14ac:dyDescent="0.35">
      <c r="A13" t="s">
        <v>22</v>
      </c>
      <c r="B13" s="5">
        <v>45519</v>
      </c>
      <c r="C13" t="s">
        <v>1214</v>
      </c>
      <c r="D13" t="s">
        <v>1227</v>
      </c>
      <c r="E13" t="s">
        <v>1258</v>
      </c>
      <c r="F13" t="s">
        <v>1902</v>
      </c>
      <c r="G13" t="s">
        <v>1907</v>
      </c>
      <c r="H13" t="s">
        <v>1914</v>
      </c>
      <c r="I13" s="4">
        <v>391</v>
      </c>
      <c r="J13" s="3">
        <v>456</v>
      </c>
      <c r="K13" s="3">
        <f>Table1[[#This Row],[Quantity Sold]]*Table1[[#This Row],[Unit Price (INR)]]</f>
        <v>178296</v>
      </c>
      <c r="L13" t="s">
        <v>1923</v>
      </c>
    </row>
    <row r="14" spans="1:12" x14ac:dyDescent="0.35">
      <c r="A14" t="s">
        <v>23</v>
      </c>
      <c r="B14" s="5">
        <v>45520</v>
      </c>
      <c r="C14" t="s">
        <v>1214</v>
      </c>
      <c r="D14" t="s">
        <v>1228</v>
      </c>
      <c r="E14" t="s">
        <v>1259</v>
      </c>
      <c r="F14" t="s">
        <v>1904</v>
      </c>
      <c r="G14" t="s">
        <v>1907</v>
      </c>
      <c r="H14" t="s">
        <v>1916</v>
      </c>
      <c r="I14" s="4">
        <v>182</v>
      </c>
      <c r="J14" s="3">
        <v>260</v>
      </c>
      <c r="K14" s="3">
        <f>Table1[[#This Row],[Quantity Sold]]*Table1[[#This Row],[Unit Price (INR)]]</f>
        <v>47320</v>
      </c>
      <c r="L14" t="s">
        <v>1922</v>
      </c>
    </row>
    <row r="15" spans="1:12" x14ac:dyDescent="0.35">
      <c r="A15" t="s">
        <v>24</v>
      </c>
      <c r="B15" s="5">
        <v>45521</v>
      </c>
      <c r="C15" t="s">
        <v>1213</v>
      </c>
      <c r="D15" t="s">
        <v>1220</v>
      </c>
      <c r="E15" t="s">
        <v>1260</v>
      </c>
      <c r="F15" t="s">
        <v>1905</v>
      </c>
      <c r="G15" t="s">
        <v>1910</v>
      </c>
      <c r="H15" t="s">
        <v>1916</v>
      </c>
      <c r="I15" s="4">
        <v>160</v>
      </c>
      <c r="J15" s="3">
        <v>74</v>
      </c>
      <c r="K15" s="3">
        <f>Table1[[#This Row],[Quantity Sold]]*Table1[[#This Row],[Unit Price (INR)]]</f>
        <v>11840</v>
      </c>
      <c r="L15" t="s">
        <v>1921</v>
      </c>
    </row>
    <row r="16" spans="1:12" x14ac:dyDescent="0.35">
      <c r="A16" t="s">
        <v>25</v>
      </c>
      <c r="B16" s="5">
        <v>45522</v>
      </c>
      <c r="C16" t="s">
        <v>1212</v>
      </c>
      <c r="D16" t="s">
        <v>1229</v>
      </c>
      <c r="E16" t="s">
        <v>1261</v>
      </c>
      <c r="F16" t="s">
        <v>1903</v>
      </c>
      <c r="G16" t="s">
        <v>1910</v>
      </c>
      <c r="H16" t="s">
        <v>1917</v>
      </c>
      <c r="I16" s="4">
        <v>462</v>
      </c>
      <c r="J16" s="3">
        <v>65</v>
      </c>
      <c r="K16" s="3">
        <f>Table1[[#This Row],[Quantity Sold]]*Table1[[#This Row],[Unit Price (INR)]]</f>
        <v>30030</v>
      </c>
      <c r="L16" t="s">
        <v>1922</v>
      </c>
    </row>
    <row r="17" spans="1:12" x14ac:dyDescent="0.35">
      <c r="A17" t="s">
        <v>26</v>
      </c>
      <c r="B17" s="5">
        <v>45523</v>
      </c>
      <c r="C17" t="s">
        <v>1214</v>
      </c>
      <c r="D17" t="s">
        <v>1222</v>
      </c>
      <c r="E17" t="s">
        <v>1262</v>
      </c>
      <c r="F17" t="s">
        <v>1902</v>
      </c>
      <c r="G17" t="s">
        <v>1910</v>
      </c>
      <c r="H17" t="s">
        <v>1918</v>
      </c>
      <c r="I17" s="4">
        <v>359</v>
      </c>
      <c r="J17" s="3">
        <v>231</v>
      </c>
      <c r="K17" s="3">
        <f>Table1[[#This Row],[Quantity Sold]]*Table1[[#This Row],[Unit Price (INR)]]</f>
        <v>82929</v>
      </c>
      <c r="L17" t="s">
        <v>1921</v>
      </c>
    </row>
    <row r="18" spans="1:12" x14ac:dyDescent="0.35">
      <c r="A18" t="s">
        <v>27</v>
      </c>
      <c r="B18" s="5">
        <v>45524</v>
      </c>
      <c r="C18" t="s">
        <v>1216</v>
      </c>
      <c r="D18" t="s">
        <v>1230</v>
      </c>
      <c r="E18" t="s">
        <v>1263</v>
      </c>
      <c r="F18" t="s">
        <v>1905</v>
      </c>
      <c r="G18" t="s">
        <v>1911</v>
      </c>
      <c r="H18" t="s">
        <v>1918</v>
      </c>
      <c r="I18" s="4">
        <v>399</v>
      </c>
      <c r="J18" s="3">
        <v>378</v>
      </c>
      <c r="K18" s="3">
        <f>Table1[[#This Row],[Quantity Sold]]*Table1[[#This Row],[Unit Price (INR)]]</f>
        <v>150822</v>
      </c>
      <c r="L18" t="s">
        <v>1922</v>
      </c>
    </row>
    <row r="19" spans="1:12" x14ac:dyDescent="0.35">
      <c r="A19" t="s">
        <v>28</v>
      </c>
      <c r="B19" s="5">
        <v>45525</v>
      </c>
      <c r="C19" t="s">
        <v>1213</v>
      </c>
      <c r="D19" t="s">
        <v>1223</v>
      </c>
      <c r="E19" t="s">
        <v>1264</v>
      </c>
      <c r="F19" t="s">
        <v>1906</v>
      </c>
      <c r="G19" t="s">
        <v>1907</v>
      </c>
      <c r="H19" t="s">
        <v>1917</v>
      </c>
      <c r="I19" s="4">
        <v>449</v>
      </c>
      <c r="J19" s="3">
        <v>178</v>
      </c>
      <c r="K19" s="3">
        <f>Table1[[#This Row],[Quantity Sold]]*Table1[[#This Row],[Unit Price (INR)]]</f>
        <v>79922</v>
      </c>
      <c r="L19" t="s">
        <v>1923</v>
      </c>
    </row>
    <row r="20" spans="1:12" x14ac:dyDescent="0.35">
      <c r="A20" t="s">
        <v>29</v>
      </c>
      <c r="B20" s="5">
        <v>45526</v>
      </c>
      <c r="C20" t="s">
        <v>1215</v>
      </c>
      <c r="D20" t="s">
        <v>1231</v>
      </c>
      <c r="E20" t="s">
        <v>1265</v>
      </c>
      <c r="F20" t="s">
        <v>1901</v>
      </c>
      <c r="G20" t="s">
        <v>1908</v>
      </c>
      <c r="H20" t="s">
        <v>1917</v>
      </c>
      <c r="I20" s="4">
        <v>131</v>
      </c>
      <c r="J20" s="3">
        <v>91</v>
      </c>
      <c r="K20" s="3">
        <f>Table1[[#This Row],[Quantity Sold]]*Table1[[#This Row],[Unit Price (INR)]]</f>
        <v>11921</v>
      </c>
      <c r="L20" t="s">
        <v>1920</v>
      </c>
    </row>
    <row r="21" spans="1:12" x14ac:dyDescent="0.35">
      <c r="A21" t="s">
        <v>30</v>
      </c>
      <c r="B21" s="5">
        <v>45527</v>
      </c>
      <c r="C21" t="s">
        <v>1212</v>
      </c>
      <c r="D21" t="s">
        <v>1229</v>
      </c>
      <c r="E21" t="s">
        <v>1260</v>
      </c>
      <c r="F21" t="s">
        <v>1905</v>
      </c>
      <c r="G21" t="s">
        <v>1909</v>
      </c>
      <c r="H21" t="s">
        <v>1913</v>
      </c>
      <c r="I21" s="4">
        <v>117</v>
      </c>
      <c r="J21" s="3">
        <v>452</v>
      </c>
      <c r="K21" s="3">
        <f>Table1[[#This Row],[Quantity Sold]]*Table1[[#This Row],[Unit Price (INR)]]</f>
        <v>52884</v>
      </c>
      <c r="L21" t="s">
        <v>1923</v>
      </c>
    </row>
    <row r="22" spans="1:12" x14ac:dyDescent="0.35">
      <c r="A22" t="s">
        <v>31</v>
      </c>
      <c r="B22" s="5">
        <v>45528</v>
      </c>
      <c r="C22" t="s">
        <v>1216</v>
      </c>
      <c r="D22" t="s">
        <v>1232</v>
      </c>
      <c r="E22" t="s">
        <v>1266</v>
      </c>
      <c r="F22" t="s">
        <v>1901</v>
      </c>
      <c r="G22" t="s">
        <v>1911</v>
      </c>
      <c r="H22" t="s">
        <v>1915</v>
      </c>
      <c r="I22" s="4">
        <v>13</v>
      </c>
      <c r="J22" s="3">
        <v>467</v>
      </c>
      <c r="K22" s="3">
        <f>Table1[[#This Row],[Quantity Sold]]*Table1[[#This Row],[Unit Price (INR)]]</f>
        <v>6071</v>
      </c>
      <c r="L22" t="s">
        <v>1921</v>
      </c>
    </row>
    <row r="23" spans="1:12" x14ac:dyDescent="0.35">
      <c r="A23" t="s">
        <v>32</v>
      </c>
      <c r="B23" s="5">
        <v>45529</v>
      </c>
      <c r="C23" t="s">
        <v>1216</v>
      </c>
      <c r="D23" t="s">
        <v>1232</v>
      </c>
      <c r="E23" t="s">
        <v>1267</v>
      </c>
      <c r="F23" t="s">
        <v>1902</v>
      </c>
      <c r="G23" t="s">
        <v>1908</v>
      </c>
      <c r="H23" t="s">
        <v>1914</v>
      </c>
      <c r="I23" s="4">
        <v>102</v>
      </c>
      <c r="J23" s="3">
        <v>385</v>
      </c>
      <c r="K23" s="3">
        <f>Table1[[#This Row],[Quantity Sold]]*Table1[[#This Row],[Unit Price (INR)]]</f>
        <v>39270</v>
      </c>
      <c r="L23" t="s">
        <v>1923</v>
      </c>
    </row>
    <row r="24" spans="1:12" x14ac:dyDescent="0.35">
      <c r="A24" t="s">
        <v>33</v>
      </c>
      <c r="B24" s="5">
        <v>45530</v>
      </c>
      <c r="C24" t="s">
        <v>1215</v>
      </c>
      <c r="D24" t="s">
        <v>1225</v>
      </c>
      <c r="E24" t="s">
        <v>1268</v>
      </c>
      <c r="F24" t="s">
        <v>1900</v>
      </c>
      <c r="G24" t="s">
        <v>1907</v>
      </c>
      <c r="H24" t="s">
        <v>1912</v>
      </c>
      <c r="I24" s="4">
        <v>416</v>
      </c>
      <c r="J24" s="3">
        <v>285</v>
      </c>
      <c r="K24" s="3">
        <f>Table1[[#This Row],[Quantity Sold]]*Table1[[#This Row],[Unit Price (INR)]]</f>
        <v>118560</v>
      </c>
      <c r="L24" t="s">
        <v>1920</v>
      </c>
    </row>
    <row r="25" spans="1:12" x14ac:dyDescent="0.35">
      <c r="A25" t="s">
        <v>34</v>
      </c>
      <c r="B25" s="5">
        <v>45531</v>
      </c>
      <c r="C25" t="s">
        <v>1212</v>
      </c>
      <c r="D25" t="s">
        <v>1233</v>
      </c>
      <c r="E25" t="s">
        <v>1269</v>
      </c>
      <c r="F25" t="s">
        <v>1905</v>
      </c>
      <c r="G25" t="s">
        <v>1910</v>
      </c>
      <c r="H25" t="s">
        <v>1917</v>
      </c>
      <c r="I25" s="4">
        <v>15</v>
      </c>
      <c r="J25" s="3">
        <v>409</v>
      </c>
      <c r="K25" s="3">
        <f>Table1[[#This Row],[Quantity Sold]]*Table1[[#This Row],[Unit Price (INR)]]</f>
        <v>6135</v>
      </c>
      <c r="L25" t="s">
        <v>1923</v>
      </c>
    </row>
    <row r="26" spans="1:12" x14ac:dyDescent="0.35">
      <c r="A26" t="s">
        <v>35</v>
      </c>
      <c r="B26" s="5">
        <v>45532</v>
      </c>
      <c r="C26" t="s">
        <v>1213</v>
      </c>
      <c r="D26" t="s">
        <v>1234</v>
      </c>
      <c r="E26" t="s">
        <v>1270</v>
      </c>
      <c r="F26" t="s">
        <v>1903</v>
      </c>
      <c r="G26" t="s">
        <v>1907</v>
      </c>
      <c r="H26" t="s">
        <v>1919</v>
      </c>
      <c r="I26" s="4">
        <v>297</v>
      </c>
      <c r="J26" s="3">
        <v>488</v>
      </c>
      <c r="K26" s="3">
        <f>Table1[[#This Row],[Quantity Sold]]*Table1[[#This Row],[Unit Price (INR)]]</f>
        <v>144936</v>
      </c>
      <c r="L26" t="s">
        <v>1921</v>
      </c>
    </row>
    <row r="27" spans="1:12" x14ac:dyDescent="0.35">
      <c r="A27" t="s">
        <v>36</v>
      </c>
      <c r="B27" s="5">
        <v>45533</v>
      </c>
      <c r="C27" t="s">
        <v>1217</v>
      </c>
      <c r="D27" t="s">
        <v>1235</v>
      </c>
      <c r="E27" t="s">
        <v>1271</v>
      </c>
      <c r="F27" t="s">
        <v>1902</v>
      </c>
      <c r="G27" t="s">
        <v>1909</v>
      </c>
      <c r="H27" t="s">
        <v>1918</v>
      </c>
      <c r="I27" s="4">
        <v>115</v>
      </c>
      <c r="J27" s="3">
        <v>451</v>
      </c>
      <c r="K27" s="3">
        <f>Table1[[#This Row],[Quantity Sold]]*Table1[[#This Row],[Unit Price (INR)]]</f>
        <v>51865</v>
      </c>
      <c r="L27" t="s">
        <v>1921</v>
      </c>
    </row>
    <row r="28" spans="1:12" x14ac:dyDescent="0.35">
      <c r="A28" t="s">
        <v>37</v>
      </c>
      <c r="B28" s="5">
        <v>45534</v>
      </c>
      <c r="C28" t="s">
        <v>1212</v>
      </c>
      <c r="D28" t="s">
        <v>1233</v>
      </c>
      <c r="E28" t="s">
        <v>1272</v>
      </c>
      <c r="F28" t="s">
        <v>1897</v>
      </c>
      <c r="G28" t="s">
        <v>1911</v>
      </c>
      <c r="H28" t="s">
        <v>1917</v>
      </c>
      <c r="I28" s="4">
        <v>155</v>
      </c>
      <c r="J28" s="3">
        <v>83</v>
      </c>
      <c r="K28" s="3">
        <f>Table1[[#This Row],[Quantity Sold]]*Table1[[#This Row],[Unit Price (INR)]]</f>
        <v>12865</v>
      </c>
      <c r="L28" t="s">
        <v>1923</v>
      </c>
    </row>
    <row r="29" spans="1:12" x14ac:dyDescent="0.35">
      <c r="A29" t="s">
        <v>38</v>
      </c>
      <c r="B29" s="5">
        <v>45535</v>
      </c>
      <c r="C29" t="s">
        <v>1215</v>
      </c>
      <c r="D29" t="s">
        <v>1236</v>
      </c>
      <c r="E29" t="s">
        <v>1273</v>
      </c>
      <c r="F29" t="s">
        <v>1898</v>
      </c>
      <c r="G29" t="s">
        <v>1911</v>
      </c>
      <c r="H29" t="s">
        <v>1919</v>
      </c>
      <c r="I29" s="4">
        <v>280</v>
      </c>
      <c r="J29" s="3">
        <v>394</v>
      </c>
      <c r="K29" s="3">
        <f>Table1[[#This Row],[Quantity Sold]]*Table1[[#This Row],[Unit Price (INR)]]</f>
        <v>110320</v>
      </c>
      <c r="L29" t="s">
        <v>1920</v>
      </c>
    </row>
    <row r="30" spans="1:12" x14ac:dyDescent="0.35">
      <c r="A30" t="s">
        <v>39</v>
      </c>
      <c r="B30" s="5">
        <v>45536</v>
      </c>
      <c r="C30" t="s">
        <v>1216</v>
      </c>
      <c r="D30" t="s">
        <v>1230</v>
      </c>
      <c r="E30" t="s">
        <v>1274</v>
      </c>
      <c r="F30" t="s">
        <v>1905</v>
      </c>
      <c r="G30" t="s">
        <v>1909</v>
      </c>
      <c r="H30" t="s">
        <v>1919</v>
      </c>
      <c r="I30" s="4">
        <v>433</v>
      </c>
      <c r="J30" s="3">
        <v>430</v>
      </c>
      <c r="K30" s="3">
        <f>Table1[[#This Row],[Quantity Sold]]*Table1[[#This Row],[Unit Price (INR)]]</f>
        <v>186190</v>
      </c>
      <c r="L30" t="s">
        <v>1923</v>
      </c>
    </row>
    <row r="31" spans="1:12" x14ac:dyDescent="0.35">
      <c r="A31" t="s">
        <v>40</v>
      </c>
      <c r="B31" s="5">
        <v>45537</v>
      </c>
      <c r="C31" t="s">
        <v>1213</v>
      </c>
      <c r="D31" t="s">
        <v>1223</v>
      </c>
      <c r="E31" t="s">
        <v>1275</v>
      </c>
      <c r="F31" t="s">
        <v>1903</v>
      </c>
      <c r="G31" t="s">
        <v>1908</v>
      </c>
      <c r="H31" t="s">
        <v>1919</v>
      </c>
      <c r="I31" s="4">
        <v>387</v>
      </c>
      <c r="J31" s="3">
        <v>94</v>
      </c>
      <c r="K31" s="3">
        <f>Table1[[#This Row],[Quantity Sold]]*Table1[[#This Row],[Unit Price (INR)]]</f>
        <v>36378</v>
      </c>
      <c r="L31" t="s">
        <v>1920</v>
      </c>
    </row>
    <row r="32" spans="1:12" x14ac:dyDescent="0.35">
      <c r="A32" t="s">
        <v>41</v>
      </c>
      <c r="B32" s="5">
        <v>45538</v>
      </c>
      <c r="C32" t="s">
        <v>1212</v>
      </c>
      <c r="D32" t="s">
        <v>1233</v>
      </c>
      <c r="E32" t="s">
        <v>1276</v>
      </c>
      <c r="F32" t="s">
        <v>1906</v>
      </c>
      <c r="G32" t="s">
        <v>1908</v>
      </c>
      <c r="H32" t="s">
        <v>1913</v>
      </c>
      <c r="I32" s="4">
        <v>105</v>
      </c>
      <c r="J32" s="3">
        <v>183</v>
      </c>
      <c r="K32" s="3">
        <f>Table1[[#This Row],[Quantity Sold]]*Table1[[#This Row],[Unit Price (INR)]]</f>
        <v>19215</v>
      </c>
      <c r="L32" t="s">
        <v>1922</v>
      </c>
    </row>
    <row r="33" spans="1:12" x14ac:dyDescent="0.35">
      <c r="A33" t="s">
        <v>42</v>
      </c>
      <c r="B33" s="5">
        <v>45539</v>
      </c>
      <c r="C33" t="s">
        <v>1217</v>
      </c>
      <c r="D33" t="s">
        <v>1237</v>
      </c>
      <c r="E33" t="s">
        <v>1277</v>
      </c>
      <c r="F33" t="s">
        <v>1897</v>
      </c>
      <c r="G33" t="s">
        <v>1911</v>
      </c>
      <c r="H33" t="s">
        <v>1913</v>
      </c>
      <c r="I33" s="4">
        <v>466</v>
      </c>
      <c r="J33" s="3">
        <v>70</v>
      </c>
      <c r="K33" s="3">
        <f>Table1[[#This Row],[Quantity Sold]]*Table1[[#This Row],[Unit Price (INR)]]</f>
        <v>32620</v>
      </c>
      <c r="L33" t="s">
        <v>1920</v>
      </c>
    </row>
    <row r="34" spans="1:12" x14ac:dyDescent="0.35">
      <c r="A34" t="s">
        <v>43</v>
      </c>
      <c r="B34" s="5">
        <v>45540</v>
      </c>
      <c r="C34" t="s">
        <v>1217</v>
      </c>
      <c r="D34" t="s">
        <v>1238</v>
      </c>
      <c r="E34" t="s">
        <v>1249</v>
      </c>
      <c r="F34" t="s">
        <v>1906</v>
      </c>
      <c r="G34" t="s">
        <v>1911</v>
      </c>
      <c r="H34" t="s">
        <v>1912</v>
      </c>
      <c r="I34" s="4">
        <v>238</v>
      </c>
      <c r="J34" s="3">
        <v>171</v>
      </c>
      <c r="K34" s="3">
        <f>Table1[[#This Row],[Quantity Sold]]*Table1[[#This Row],[Unit Price (INR)]]</f>
        <v>40698</v>
      </c>
      <c r="L34" t="s">
        <v>1922</v>
      </c>
    </row>
    <row r="35" spans="1:12" x14ac:dyDescent="0.35">
      <c r="A35" t="s">
        <v>44</v>
      </c>
      <c r="B35" s="5">
        <v>45541</v>
      </c>
      <c r="C35" t="s">
        <v>1214</v>
      </c>
      <c r="D35" t="s">
        <v>1222</v>
      </c>
      <c r="E35" t="s">
        <v>1278</v>
      </c>
      <c r="F35" t="s">
        <v>1902</v>
      </c>
      <c r="G35" t="s">
        <v>1910</v>
      </c>
      <c r="H35" t="s">
        <v>1912</v>
      </c>
      <c r="I35" s="4">
        <v>211</v>
      </c>
      <c r="J35" s="3">
        <v>119</v>
      </c>
      <c r="K35" s="3">
        <f>Table1[[#This Row],[Quantity Sold]]*Table1[[#This Row],[Unit Price (INR)]]</f>
        <v>25109</v>
      </c>
      <c r="L35" t="s">
        <v>1923</v>
      </c>
    </row>
    <row r="36" spans="1:12" x14ac:dyDescent="0.35">
      <c r="A36" t="s">
        <v>45</v>
      </c>
      <c r="B36" s="5">
        <v>45542</v>
      </c>
      <c r="C36" t="s">
        <v>1214</v>
      </c>
      <c r="D36" t="s">
        <v>1226</v>
      </c>
      <c r="E36" t="s">
        <v>1279</v>
      </c>
      <c r="F36" t="s">
        <v>1898</v>
      </c>
      <c r="G36" t="s">
        <v>1908</v>
      </c>
      <c r="H36" t="s">
        <v>1919</v>
      </c>
      <c r="I36" s="4">
        <v>221</v>
      </c>
      <c r="J36" s="3">
        <v>401</v>
      </c>
      <c r="K36" s="3">
        <f>Table1[[#This Row],[Quantity Sold]]*Table1[[#This Row],[Unit Price (INR)]]</f>
        <v>88621</v>
      </c>
      <c r="L36" t="s">
        <v>1920</v>
      </c>
    </row>
    <row r="37" spans="1:12" x14ac:dyDescent="0.35">
      <c r="A37" t="s">
        <v>46</v>
      </c>
      <c r="B37" s="5">
        <v>45543</v>
      </c>
      <c r="C37" t="s">
        <v>1211</v>
      </c>
      <c r="D37" t="s">
        <v>1218</v>
      </c>
      <c r="E37" t="s">
        <v>1280</v>
      </c>
      <c r="F37" t="s">
        <v>1905</v>
      </c>
      <c r="G37" t="s">
        <v>1909</v>
      </c>
      <c r="H37" t="s">
        <v>1915</v>
      </c>
      <c r="I37" s="4">
        <v>15</v>
      </c>
      <c r="J37" s="3">
        <v>410</v>
      </c>
      <c r="K37" s="3">
        <f>Table1[[#This Row],[Quantity Sold]]*Table1[[#This Row],[Unit Price (INR)]]</f>
        <v>6150</v>
      </c>
      <c r="L37" t="s">
        <v>1922</v>
      </c>
    </row>
    <row r="38" spans="1:12" x14ac:dyDescent="0.35">
      <c r="A38" t="s">
        <v>47</v>
      </c>
      <c r="B38" s="5">
        <v>45544</v>
      </c>
      <c r="C38" t="s">
        <v>1215</v>
      </c>
      <c r="D38" t="s">
        <v>1225</v>
      </c>
      <c r="E38" t="s">
        <v>1281</v>
      </c>
      <c r="F38" t="s">
        <v>1905</v>
      </c>
      <c r="G38" t="s">
        <v>1908</v>
      </c>
      <c r="H38" t="s">
        <v>1913</v>
      </c>
      <c r="I38" s="4">
        <v>121</v>
      </c>
      <c r="J38" s="3">
        <v>97</v>
      </c>
      <c r="K38" s="3">
        <f>Table1[[#This Row],[Quantity Sold]]*Table1[[#This Row],[Unit Price (INR)]]</f>
        <v>11737</v>
      </c>
      <c r="L38" t="s">
        <v>1922</v>
      </c>
    </row>
    <row r="39" spans="1:12" x14ac:dyDescent="0.35">
      <c r="A39" t="s">
        <v>48</v>
      </c>
      <c r="B39" s="5">
        <v>45545</v>
      </c>
      <c r="C39" t="s">
        <v>1212</v>
      </c>
      <c r="D39" t="s">
        <v>1233</v>
      </c>
      <c r="E39" t="s">
        <v>1282</v>
      </c>
      <c r="F39" t="s">
        <v>1900</v>
      </c>
      <c r="G39" t="s">
        <v>1910</v>
      </c>
      <c r="H39" t="s">
        <v>1914</v>
      </c>
      <c r="I39" s="4">
        <v>385</v>
      </c>
      <c r="J39" s="3">
        <v>88</v>
      </c>
      <c r="K39" s="3">
        <f>Table1[[#This Row],[Quantity Sold]]*Table1[[#This Row],[Unit Price (INR)]]</f>
        <v>33880</v>
      </c>
      <c r="L39" t="s">
        <v>1922</v>
      </c>
    </row>
    <row r="40" spans="1:12" x14ac:dyDescent="0.35">
      <c r="A40" t="s">
        <v>49</v>
      </c>
      <c r="B40" s="5">
        <v>45546</v>
      </c>
      <c r="C40" t="s">
        <v>1212</v>
      </c>
      <c r="D40" t="s">
        <v>1219</v>
      </c>
      <c r="E40" t="s">
        <v>1283</v>
      </c>
      <c r="F40" t="s">
        <v>1900</v>
      </c>
      <c r="G40" t="s">
        <v>1911</v>
      </c>
      <c r="H40" t="s">
        <v>1919</v>
      </c>
      <c r="I40" s="4">
        <v>388</v>
      </c>
      <c r="J40" s="3">
        <v>336</v>
      </c>
      <c r="K40" s="3">
        <f>Table1[[#This Row],[Quantity Sold]]*Table1[[#This Row],[Unit Price (INR)]]</f>
        <v>130368</v>
      </c>
      <c r="L40" t="s">
        <v>1921</v>
      </c>
    </row>
    <row r="41" spans="1:12" x14ac:dyDescent="0.35">
      <c r="A41" t="s">
        <v>50</v>
      </c>
      <c r="B41" s="5">
        <v>45547</v>
      </c>
      <c r="C41" t="s">
        <v>1211</v>
      </c>
      <c r="D41" t="s">
        <v>1221</v>
      </c>
      <c r="E41" t="s">
        <v>1284</v>
      </c>
      <c r="F41" t="s">
        <v>1902</v>
      </c>
      <c r="G41" t="s">
        <v>1911</v>
      </c>
      <c r="H41" t="s">
        <v>1914</v>
      </c>
      <c r="I41" s="4">
        <v>456</v>
      </c>
      <c r="J41" s="3">
        <v>59</v>
      </c>
      <c r="K41" s="3">
        <f>Table1[[#This Row],[Quantity Sold]]*Table1[[#This Row],[Unit Price (INR)]]</f>
        <v>26904</v>
      </c>
      <c r="L41" t="s">
        <v>1923</v>
      </c>
    </row>
    <row r="42" spans="1:12" x14ac:dyDescent="0.35">
      <c r="A42" t="s">
        <v>51</v>
      </c>
      <c r="B42" s="5">
        <v>45548</v>
      </c>
      <c r="C42" t="s">
        <v>1216</v>
      </c>
      <c r="D42" t="s">
        <v>1239</v>
      </c>
      <c r="E42" t="s">
        <v>1285</v>
      </c>
      <c r="F42" t="s">
        <v>1902</v>
      </c>
      <c r="G42" t="s">
        <v>1910</v>
      </c>
      <c r="H42" t="s">
        <v>1914</v>
      </c>
      <c r="I42" s="4">
        <v>332</v>
      </c>
      <c r="J42" s="3">
        <v>79</v>
      </c>
      <c r="K42" s="3">
        <f>Table1[[#This Row],[Quantity Sold]]*Table1[[#This Row],[Unit Price (INR)]]</f>
        <v>26228</v>
      </c>
      <c r="L42" t="s">
        <v>1922</v>
      </c>
    </row>
    <row r="43" spans="1:12" x14ac:dyDescent="0.35">
      <c r="A43" t="s">
        <v>52</v>
      </c>
      <c r="B43" s="5">
        <v>45549</v>
      </c>
      <c r="C43" t="s">
        <v>1216</v>
      </c>
      <c r="D43" t="s">
        <v>1239</v>
      </c>
      <c r="E43" t="s">
        <v>1286</v>
      </c>
      <c r="F43" t="s">
        <v>1898</v>
      </c>
      <c r="G43" t="s">
        <v>1909</v>
      </c>
      <c r="H43" t="s">
        <v>1919</v>
      </c>
      <c r="I43" s="4">
        <v>115</v>
      </c>
      <c r="J43" s="3">
        <v>293</v>
      </c>
      <c r="K43" s="3">
        <f>Table1[[#This Row],[Quantity Sold]]*Table1[[#This Row],[Unit Price (INR)]]</f>
        <v>33695</v>
      </c>
      <c r="L43" t="s">
        <v>1920</v>
      </c>
    </row>
    <row r="44" spans="1:12" x14ac:dyDescent="0.35">
      <c r="A44" t="s">
        <v>53</v>
      </c>
      <c r="B44" s="5">
        <v>45550</v>
      </c>
      <c r="C44" t="s">
        <v>1211</v>
      </c>
      <c r="D44" t="s">
        <v>1221</v>
      </c>
      <c r="E44" t="s">
        <v>1287</v>
      </c>
      <c r="F44" t="s">
        <v>1900</v>
      </c>
      <c r="G44" t="s">
        <v>1911</v>
      </c>
      <c r="H44" t="s">
        <v>1918</v>
      </c>
      <c r="I44" s="4">
        <v>148</v>
      </c>
      <c r="J44" s="3">
        <v>323</v>
      </c>
      <c r="K44" s="3">
        <f>Table1[[#This Row],[Quantity Sold]]*Table1[[#This Row],[Unit Price (INR)]]</f>
        <v>47804</v>
      </c>
      <c r="L44" t="s">
        <v>1922</v>
      </c>
    </row>
    <row r="45" spans="1:12" x14ac:dyDescent="0.35">
      <c r="A45" t="s">
        <v>54</v>
      </c>
      <c r="B45" s="5">
        <v>45551</v>
      </c>
      <c r="C45" t="s">
        <v>1216</v>
      </c>
      <c r="D45" t="s">
        <v>1232</v>
      </c>
      <c r="E45" t="s">
        <v>1271</v>
      </c>
      <c r="F45" t="s">
        <v>1903</v>
      </c>
      <c r="G45" t="s">
        <v>1907</v>
      </c>
      <c r="H45" t="s">
        <v>1915</v>
      </c>
      <c r="I45" s="4">
        <v>308</v>
      </c>
      <c r="J45" s="3">
        <v>493</v>
      </c>
      <c r="K45" s="3">
        <f>Table1[[#This Row],[Quantity Sold]]*Table1[[#This Row],[Unit Price (INR)]]</f>
        <v>151844</v>
      </c>
      <c r="L45" t="s">
        <v>1921</v>
      </c>
    </row>
    <row r="46" spans="1:12" x14ac:dyDescent="0.35">
      <c r="A46" t="s">
        <v>55</v>
      </c>
      <c r="B46" s="5">
        <v>45552</v>
      </c>
      <c r="C46" t="s">
        <v>1214</v>
      </c>
      <c r="D46" t="s">
        <v>1228</v>
      </c>
      <c r="E46" t="s">
        <v>1288</v>
      </c>
      <c r="F46" t="s">
        <v>1903</v>
      </c>
      <c r="G46" t="s">
        <v>1911</v>
      </c>
      <c r="H46" t="s">
        <v>1919</v>
      </c>
      <c r="I46" s="4">
        <v>410</v>
      </c>
      <c r="J46" s="3">
        <v>137</v>
      </c>
      <c r="K46" s="3">
        <f>Table1[[#This Row],[Quantity Sold]]*Table1[[#This Row],[Unit Price (INR)]]</f>
        <v>56170</v>
      </c>
      <c r="L46" t="s">
        <v>1923</v>
      </c>
    </row>
    <row r="47" spans="1:12" x14ac:dyDescent="0.35">
      <c r="A47" t="s">
        <v>56</v>
      </c>
      <c r="B47" s="5">
        <v>45553</v>
      </c>
      <c r="C47" t="s">
        <v>1212</v>
      </c>
      <c r="D47" t="s">
        <v>1240</v>
      </c>
      <c r="E47" t="s">
        <v>1289</v>
      </c>
      <c r="F47" t="s">
        <v>1898</v>
      </c>
      <c r="G47" t="s">
        <v>1907</v>
      </c>
      <c r="H47" t="s">
        <v>1912</v>
      </c>
      <c r="I47" s="4">
        <v>105</v>
      </c>
      <c r="J47" s="3">
        <v>293</v>
      </c>
      <c r="K47" s="3">
        <f>Table1[[#This Row],[Quantity Sold]]*Table1[[#This Row],[Unit Price (INR)]]</f>
        <v>30765</v>
      </c>
      <c r="L47" t="s">
        <v>1921</v>
      </c>
    </row>
    <row r="48" spans="1:12" x14ac:dyDescent="0.35">
      <c r="A48" t="s">
        <v>57</v>
      </c>
      <c r="B48" s="5">
        <v>45554</v>
      </c>
      <c r="C48" t="s">
        <v>1211</v>
      </c>
      <c r="D48" t="s">
        <v>1218</v>
      </c>
      <c r="E48" t="s">
        <v>1290</v>
      </c>
      <c r="F48" t="s">
        <v>1903</v>
      </c>
      <c r="G48" t="s">
        <v>1910</v>
      </c>
      <c r="H48" t="s">
        <v>1919</v>
      </c>
      <c r="I48" s="4">
        <v>397</v>
      </c>
      <c r="J48" s="3">
        <v>430</v>
      </c>
      <c r="K48" s="3">
        <f>Table1[[#This Row],[Quantity Sold]]*Table1[[#This Row],[Unit Price (INR)]]</f>
        <v>170710</v>
      </c>
      <c r="L48" t="s">
        <v>1921</v>
      </c>
    </row>
    <row r="49" spans="1:12" x14ac:dyDescent="0.35">
      <c r="A49" t="s">
        <v>58</v>
      </c>
      <c r="B49" s="5">
        <v>45555</v>
      </c>
      <c r="C49" t="s">
        <v>1212</v>
      </c>
      <c r="D49" t="s">
        <v>1219</v>
      </c>
      <c r="E49" t="s">
        <v>1291</v>
      </c>
      <c r="F49" t="s">
        <v>1904</v>
      </c>
      <c r="G49" t="s">
        <v>1910</v>
      </c>
      <c r="H49" t="s">
        <v>1913</v>
      </c>
      <c r="I49" s="4">
        <v>456</v>
      </c>
      <c r="J49" s="3">
        <v>378</v>
      </c>
      <c r="K49" s="3">
        <f>Table1[[#This Row],[Quantity Sold]]*Table1[[#This Row],[Unit Price (INR)]]</f>
        <v>172368</v>
      </c>
      <c r="L49" t="s">
        <v>1921</v>
      </c>
    </row>
    <row r="50" spans="1:12" x14ac:dyDescent="0.35">
      <c r="A50" t="s">
        <v>59</v>
      </c>
      <c r="B50" s="5">
        <v>45556</v>
      </c>
      <c r="C50" t="s">
        <v>1217</v>
      </c>
      <c r="D50" t="s">
        <v>1235</v>
      </c>
      <c r="E50" t="s">
        <v>1262</v>
      </c>
      <c r="F50" t="s">
        <v>1901</v>
      </c>
      <c r="G50" t="s">
        <v>1911</v>
      </c>
      <c r="H50" t="s">
        <v>1919</v>
      </c>
      <c r="I50" s="4">
        <v>461</v>
      </c>
      <c r="J50" s="3">
        <v>64</v>
      </c>
      <c r="K50" s="3">
        <f>Table1[[#This Row],[Quantity Sold]]*Table1[[#This Row],[Unit Price (INR)]]</f>
        <v>29504</v>
      </c>
      <c r="L50" t="s">
        <v>1920</v>
      </c>
    </row>
    <row r="51" spans="1:12" x14ac:dyDescent="0.35">
      <c r="A51" t="s">
        <v>60</v>
      </c>
      <c r="B51" s="5">
        <v>45557</v>
      </c>
      <c r="C51" t="s">
        <v>1214</v>
      </c>
      <c r="D51" t="s">
        <v>1222</v>
      </c>
      <c r="E51" t="s">
        <v>1292</v>
      </c>
      <c r="F51" t="s">
        <v>1898</v>
      </c>
      <c r="G51" t="s">
        <v>1908</v>
      </c>
      <c r="H51" t="s">
        <v>1918</v>
      </c>
      <c r="I51" s="4">
        <v>346</v>
      </c>
      <c r="J51" s="3">
        <v>53</v>
      </c>
      <c r="K51" s="3">
        <f>Table1[[#This Row],[Quantity Sold]]*Table1[[#This Row],[Unit Price (INR)]]</f>
        <v>18338</v>
      </c>
      <c r="L51" t="s">
        <v>1923</v>
      </c>
    </row>
    <row r="52" spans="1:12" x14ac:dyDescent="0.35">
      <c r="A52" t="s">
        <v>61</v>
      </c>
      <c r="B52" s="5">
        <v>45558</v>
      </c>
      <c r="C52" t="s">
        <v>1213</v>
      </c>
      <c r="D52" t="s">
        <v>1234</v>
      </c>
      <c r="E52" t="s">
        <v>1293</v>
      </c>
      <c r="F52" t="s">
        <v>1898</v>
      </c>
      <c r="G52" t="s">
        <v>1907</v>
      </c>
      <c r="H52" t="s">
        <v>1913</v>
      </c>
      <c r="I52" s="4">
        <v>306</v>
      </c>
      <c r="J52" s="3">
        <v>240</v>
      </c>
      <c r="K52" s="3">
        <f>Table1[[#This Row],[Quantity Sold]]*Table1[[#This Row],[Unit Price (INR)]]</f>
        <v>73440</v>
      </c>
      <c r="L52" t="s">
        <v>1923</v>
      </c>
    </row>
    <row r="53" spans="1:12" x14ac:dyDescent="0.35">
      <c r="A53" t="s">
        <v>62</v>
      </c>
      <c r="B53" s="5">
        <v>45559</v>
      </c>
      <c r="C53" t="s">
        <v>1214</v>
      </c>
      <c r="D53" t="s">
        <v>1226</v>
      </c>
      <c r="E53" t="s">
        <v>1294</v>
      </c>
      <c r="F53" t="s">
        <v>1899</v>
      </c>
      <c r="G53" t="s">
        <v>1909</v>
      </c>
      <c r="H53" t="s">
        <v>1912</v>
      </c>
      <c r="I53" s="4">
        <v>476</v>
      </c>
      <c r="J53" s="3">
        <v>217</v>
      </c>
      <c r="K53" s="3">
        <f>Table1[[#This Row],[Quantity Sold]]*Table1[[#This Row],[Unit Price (INR)]]</f>
        <v>103292</v>
      </c>
      <c r="L53" t="s">
        <v>1920</v>
      </c>
    </row>
    <row r="54" spans="1:12" x14ac:dyDescent="0.35">
      <c r="A54" t="s">
        <v>63</v>
      </c>
      <c r="B54" s="5">
        <v>45560</v>
      </c>
      <c r="C54" t="s">
        <v>1211</v>
      </c>
      <c r="D54" t="s">
        <v>1221</v>
      </c>
      <c r="E54" t="s">
        <v>1295</v>
      </c>
      <c r="F54" t="s">
        <v>1897</v>
      </c>
      <c r="G54" t="s">
        <v>1911</v>
      </c>
      <c r="H54" t="s">
        <v>1916</v>
      </c>
      <c r="I54" s="4">
        <v>398</v>
      </c>
      <c r="J54" s="3">
        <v>58</v>
      </c>
      <c r="K54" s="3">
        <f>Table1[[#This Row],[Quantity Sold]]*Table1[[#This Row],[Unit Price (INR)]]</f>
        <v>23084</v>
      </c>
      <c r="L54" t="s">
        <v>1923</v>
      </c>
    </row>
    <row r="55" spans="1:12" x14ac:dyDescent="0.35">
      <c r="A55" t="s">
        <v>64</v>
      </c>
      <c r="B55" s="5">
        <v>45561</v>
      </c>
      <c r="C55" t="s">
        <v>1213</v>
      </c>
      <c r="D55" t="s">
        <v>1223</v>
      </c>
      <c r="E55" t="s">
        <v>1296</v>
      </c>
      <c r="F55" t="s">
        <v>1897</v>
      </c>
      <c r="G55" t="s">
        <v>1909</v>
      </c>
      <c r="H55" t="s">
        <v>1916</v>
      </c>
      <c r="I55" s="4">
        <v>425</v>
      </c>
      <c r="J55" s="3">
        <v>158</v>
      </c>
      <c r="K55" s="3">
        <f>Table1[[#This Row],[Quantity Sold]]*Table1[[#This Row],[Unit Price (INR)]]</f>
        <v>67150</v>
      </c>
      <c r="L55" t="s">
        <v>1921</v>
      </c>
    </row>
    <row r="56" spans="1:12" x14ac:dyDescent="0.35">
      <c r="A56" t="s">
        <v>65</v>
      </c>
      <c r="B56" s="5">
        <v>45562</v>
      </c>
      <c r="C56" t="s">
        <v>1217</v>
      </c>
      <c r="D56" t="s">
        <v>1238</v>
      </c>
      <c r="E56" t="s">
        <v>1297</v>
      </c>
      <c r="F56" t="s">
        <v>1904</v>
      </c>
      <c r="G56" t="s">
        <v>1911</v>
      </c>
      <c r="H56" t="s">
        <v>1914</v>
      </c>
      <c r="I56" s="4">
        <v>223</v>
      </c>
      <c r="J56" s="3">
        <v>186</v>
      </c>
      <c r="K56" s="3">
        <f>Table1[[#This Row],[Quantity Sold]]*Table1[[#This Row],[Unit Price (INR)]]</f>
        <v>41478</v>
      </c>
      <c r="L56" t="s">
        <v>1923</v>
      </c>
    </row>
    <row r="57" spans="1:12" x14ac:dyDescent="0.35">
      <c r="A57" t="s">
        <v>66</v>
      </c>
      <c r="B57" s="5">
        <v>45563</v>
      </c>
      <c r="C57" t="s">
        <v>1211</v>
      </c>
      <c r="D57" t="s">
        <v>1218</v>
      </c>
      <c r="E57" t="s">
        <v>1298</v>
      </c>
      <c r="F57" t="s">
        <v>1900</v>
      </c>
      <c r="G57" t="s">
        <v>1908</v>
      </c>
      <c r="H57" t="s">
        <v>1915</v>
      </c>
      <c r="I57" s="4">
        <v>463</v>
      </c>
      <c r="J57" s="3">
        <v>203</v>
      </c>
      <c r="K57" s="3">
        <f>Table1[[#This Row],[Quantity Sold]]*Table1[[#This Row],[Unit Price (INR)]]</f>
        <v>93989</v>
      </c>
      <c r="L57" t="s">
        <v>1920</v>
      </c>
    </row>
    <row r="58" spans="1:12" x14ac:dyDescent="0.35">
      <c r="A58" t="s">
        <v>67</v>
      </c>
      <c r="B58" s="5">
        <v>45564</v>
      </c>
      <c r="C58" t="s">
        <v>1215</v>
      </c>
      <c r="D58" t="s">
        <v>1231</v>
      </c>
      <c r="E58" t="s">
        <v>1299</v>
      </c>
      <c r="F58" t="s">
        <v>1902</v>
      </c>
      <c r="G58" t="s">
        <v>1908</v>
      </c>
      <c r="H58" t="s">
        <v>1914</v>
      </c>
      <c r="I58" s="4">
        <v>300</v>
      </c>
      <c r="J58" s="3">
        <v>437</v>
      </c>
      <c r="K58" s="3">
        <f>Table1[[#This Row],[Quantity Sold]]*Table1[[#This Row],[Unit Price (INR)]]</f>
        <v>131100</v>
      </c>
      <c r="L58" t="s">
        <v>1921</v>
      </c>
    </row>
    <row r="59" spans="1:12" x14ac:dyDescent="0.35">
      <c r="A59" t="s">
        <v>68</v>
      </c>
      <c r="B59" s="5">
        <v>45565</v>
      </c>
      <c r="C59" t="s">
        <v>1212</v>
      </c>
      <c r="D59" t="s">
        <v>1240</v>
      </c>
      <c r="E59" t="s">
        <v>1300</v>
      </c>
      <c r="F59" t="s">
        <v>1902</v>
      </c>
      <c r="G59" t="s">
        <v>1908</v>
      </c>
      <c r="H59" t="s">
        <v>1918</v>
      </c>
      <c r="I59" s="4">
        <v>31</v>
      </c>
      <c r="J59" s="3">
        <v>258</v>
      </c>
      <c r="K59" s="3">
        <f>Table1[[#This Row],[Quantity Sold]]*Table1[[#This Row],[Unit Price (INR)]]</f>
        <v>7998</v>
      </c>
      <c r="L59" t="s">
        <v>1920</v>
      </c>
    </row>
    <row r="60" spans="1:12" x14ac:dyDescent="0.35">
      <c r="A60" t="s">
        <v>69</v>
      </c>
      <c r="B60" s="5">
        <v>45566</v>
      </c>
      <c r="C60" t="s">
        <v>1217</v>
      </c>
      <c r="D60" t="s">
        <v>1235</v>
      </c>
      <c r="E60" t="s">
        <v>1301</v>
      </c>
      <c r="F60" t="s">
        <v>1906</v>
      </c>
      <c r="G60" t="s">
        <v>1908</v>
      </c>
      <c r="H60" t="s">
        <v>1917</v>
      </c>
      <c r="I60" s="4">
        <v>202</v>
      </c>
      <c r="J60" s="3">
        <v>321</v>
      </c>
      <c r="K60" s="3">
        <f>Table1[[#This Row],[Quantity Sold]]*Table1[[#This Row],[Unit Price (INR)]]</f>
        <v>64842</v>
      </c>
      <c r="L60" t="s">
        <v>1922</v>
      </c>
    </row>
    <row r="61" spans="1:12" x14ac:dyDescent="0.35">
      <c r="A61" t="s">
        <v>70</v>
      </c>
      <c r="B61" s="5">
        <v>45567</v>
      </c>
      <c r="C61" t="s">
        <v>1212</v>
      </c>
      <c r="D61" t="s">
        <v>1233</v>
      </c>
      <c r="E61" t="s">
        <v>1302</v>
      </c>
      <c r="F61" t="s">
        <v>1904</v>
      </c>
      <c r="G61" t="s">
        <v>1910</v>
      </c>
      <c r="H61" t="s">
        <v>1912</v>
      </c>
      <c r="I61" s="4">
        <v>477</v>
      </c>
      <c r="J61" s="3">
        <v>192</v>
      </c>
      <c r="K61" s="3">
        <f>Table1[[#This Row],[Quantity Sold]]*Table1[[#This Row],[Unit Price (INR)]]</f>
        <v>91584</v>
      </c>
      <c r="L61" t="s">
        <v>1921</v>
      </c>
    </row>
    <row r="62" spans="1:12" x14ac:dyDescent="0.35">
      <c r="A62" t="s">
        <v>71</v>
      </c>
      <c r="B62" s="5">
        <v>45568</v>
      </c>
      <c r="C62" t="s">
        <v>1216</v>
      </c>
      <c r="D62" t="s">
        <v>1241</v>
      </c>
      <c r="E62" t="s">
        <v>1283</v>
      </c>
      <c r="F62" t="s">
        <v>1898</v>
      </c>
      <c r="G62" t="s">
        <v>1910</v>
      </c>
      <c r="H62" t="s">
        <v>1915</v>
      </c>
      <c r="I62" s="4">
        <v>159</v>
      </c>
      <c r="J62" s="3">
        <v>148</v>
      </c>
      <c r="K62" s="3">
        <f>Table1[[#This Row],[Quantity Sold]]*Table1[[#This Row],[Unit Price (INR)]]</f>
        <v>23532</v>
      </c>
      <c r="L62" t="s">
        <v>1921</v>
      </c>
    </row>
    <row r="63" spans="1:12" x14ac:dyDescent="0.35">
      <c r="A63" t="s">
        <v>72</v>
      </c>
      <c r="B63" s="5">
        <v>45569</v>
      </c>
      <c r="C63" t="s">
        <v>1215</v>
      </c>
      <c r="D63" t="s">
        <v>1225</v>
      </c>
      <c r="E63" t="s">
        <v>1303</v>
      </c>
      <c r="F63" t="s">
        <v>1904</v>
      </c>
      <c r="G63" t="s">
        <v>1907</v>
      </c>
      <c r="H63" t="s">
        <v>1912</v>
      </c>
      <c r="I63" s="4">
        <v>377</v>
      </c>
      <c r="J63" s="3">
        <v>426</v>
      </c>
      <c r="K63" s="3">
        <f>Table1[[#This Row],[Quantity Sold]]*Table1[[#This Row],[Unit Price (INR)]]</f>
        <v>160602</v>
      </c>
      <c r="L63" t="s">
        <v>1923</v>
      </c>
    </row>
    <row r="64" spans="1:12" x14ac:dyDescent="0.35">
      <c r="A64" t="s">
        <v>73</v>
      </c>
      <c r="B64" s="5">
        <v>45570</v>
      </c>
      <c r="C64" t="s">
        <v>1215</v>
      </c>
      <c r="D64" t="s">
        <v>1242</v>
      </c>
      <c r="E64" t="s">
        <v>1304</v>
      </c>
      <c r="F64" t="s">
        <v>1904</v>
      </c>
      <c r="G64" t="s">
        <v>1909</v>
      </c>
      <c r="H64" t="s">
        <v>1916</v>
      </c>
      <c r="I64" s="4">
        <v>256</v>
      </c>
      <c r="J64" s="3">
        <v>357</v>
      </c>
      <c r="K64" s="3">
        <f>Table1[[#This Row],[Quantity Sold]]*Table1[[#This Row],[Unit Price (INR)]]</f>
        <v>91392</v>
      </c>
      <c r="L64" t="s">
        <v>1921</v>
      </c>
    </row>
    <row r="65" spans="1:12" x14ac:dyDescent="0.35">
      <c r="A65" t="s">
        <v>74</v>
      </c>
      <c r="B65" s="5">
        <v>45571</v>
      </c>
      <c r="C65" t="s">
        <v>1217</v>
      </c>
      <c r="D65" t="s">
        <v>1235</v>
      </c>
      <c r="E65" t="s">
        <v>1298</v>
      </c>
      <c r="F65" t="s">
        <v>1904</v>
      </c>
      <c r="G65" t="s">
        <v>1911</v>
      </c>
      <c r="H65" t="s">
        <v>1914</v>
      </c>
      <c r="I65" s="4">
        <v>276</v>
      </c>
      <c r="J65" s="3">
        <v>118</v>
      </c>
      <c r="K65" s="3">
        <f>Table1[[#This Row],[Quantity Sold]]*Table1[[#This Row],[Unit Price (INR)]]</f>
        <v>32568</v>
      </c>
      <c r="L65" t="s">
        <v>1920</v>
      </c>
    </row>
    <row r="66" spans="1:12" x14ac:dyDescent="0.35">
      <c r="A66" t="s">
        <v>75</v>
      </c>
      <c r="B66" s="5">
        <v>45572</v>
      </c>
      <c r="C66" t="s">
        <v>1215</v>
      </c>
      <c r="D66" t="s">
        <v>1243</v>
      </c>
      <c r="E66" t="s">
        <v>1305</v>
      </c>
      <c r="F66" t="s">
        <v>1897</v>
      </c>
      <c r="G66" t="s">
        <v>1911</v>
      </c>
      <c r="H66" t="s">
        <v>1912</v>
      </c>
      <c r="I66" s="4">
        <v>470</v>
      </c>
      <c r="J66" s="3">
        <v>296</v>
      </c>
      <c r="K66" s="3">
        <f>Table1[[#This Row],[Quantity Sold]]*Table1[[#This Row],[Unit Price (INR)]]</f>
        <v>139120</v>
      </c>
      <c r="L66" t="s">
        <v>1923</v>
      </c>
    </row>
    <row r="67" spans="1:12" x14ac:dyDescent="0.35">
      <c r="A67" t="s">
        <v>76</v>
      </c>
      <c r="B67" s="5">
        <v>45573</v>
      </c>
      <c r="C67" t="s">
        <v>1213</v>
      </c>
      <c r="D67" t="s">
        <v>1244</v>
      </c>
      <c r="E67" t="s">
        <v>1250</v>
      </c>
      <c r="F67" t="s">
        <v>1904</v>
      </c>
      <c r="G67" t="s">
        <v>1910</v>
      </c>
      <c r="H67" t="s">
        <v>1916</v>
      </c>
      <c r="I67" s="4">
        <v>260</v>
      </c>
      <c r="J67" s="3">
        <v>310</v>
      </c>
      <c r="K67" s="3">
        <f>Table1[[#This Row],[Quantity Sold]]*Table1[[#This Row],[Unit Price (INR)]]</f>
        <v>80600</v>
      </c>
      <c r="L67" t="s">
        <v>1922</v>
      </c>
    </row>
    <row r="68" spans="1:12" x14ac:dyDescent="0.35">
      <c r="A68" t="s">
        <v>77</v>
      </c>
      <c r="B68" s="5">
        <v>45574</v>
      </c>
      <c r="C68" t="s">
        <v>1215</v>
      </c>
      <c r="D68" t="s">
        <v>1225</v>
      </c>
      <c r="E68" t="s">
        <v>1306</v>
      </c>
      <c r="F68" t="s">
        <v>1901</v>
      </c>
      <c r="G68" t="s">
        <v>1911</v>
      </c>
      <c r="H68" t="s">
        <v>1918</v>
      </c>
      <c r="I68" s="4">
        <v>499</v>
      </c>
      <c r="J68" s="3">
        <v>325</v>
      </c>
      <c r="K68" s="3">
        <f>Table1[[#This Row],[Quantity Sold]]*Table1[[#This Row],[Unit Price (INR)]]</f>
        <v>162175</v>
      </c>
      <c r="L68" t="s">
        <v>1920</v>
      </c>
    </row>
    <row r="69" spans="1:12" x14ac:dyDescent="0.35">
      <c r="A69" t="s">
        <v>78</v>
      </c>
      <c r="B69" s="5">
        <v>45575</v>
      </c>
      <c r="C69" t="s">
        <v>1212</v>
      </c>
      <c r="D69" t="s">
        <v>1240</v>
      </c>
      <c r="E69" t="s">
        <v>1307</v>
      </c>
      <c r="F69" t="s">
        <v>1902</v>
      </c>
      <c r="G69" t="s">
        <v>1910</v>
      </c>
      <c r="H69" t="s">
        <v>1918</v>
      </c>
      <c r="I69" s="4">
        <v>12</v>
      </c>
      <c r="J69" s="3">
        <v>128</v>
      </c>
      <c r="K69" s="3">
        <f>Table1[[#This Row],[Quantity Sold]]*Table1[[#This Row],[Unit Price (INR)]]</f>
        <v>1536</v>
      </c>
      <c r="L69" t="s">
        <v>1922</v>
      </c>
    </row>
    <row r="70" spans="1:12" x14ac:dyDescent="0.35">
      <c r="A70" t="s">
        <v>79</v>
      </c>
      <c r="B70" s="5">
        <v>45576</v>
      </c>
      <c r="C70" t="s">
        <v>1212</v>
      </c>
      <c r="D70" t="s">
        <v>1233</v>
      </c>
      <c r="E70" t="s">
        <v>1308</v>
      </c>
      <c r="F70" t="s">
        <v>1906</v>
      </c>
      <c r="G70" t="s">
        <v>1907</v>
      </c>
      <c r="H70" t="s">
        <v>1917</v>
      </c>
      <c r="I70" s="4">
        <v>402</v>
      </c>
      <c r="J70" s="3">
        <v>195</v>
      </c>
      <c r="K70" s="3">
        <f>Table1[[#This Row],[Quantity Sold]]*Table1[[#This Row],[Unit Price (INR)]]</f>
        <v>78390</v>
      </c>
      <c r="L70" t="s">
        <v>1922</v>
      </c>
    </row>
    <row r="71" spans="1:12" x14ac:dyDescent="0.35">
      <c r="A71" t="s">
        <v>80</v>
      </c>
      <c r="B71" s="5">
        <v>45577</v>
      </c>
      <c r="C71" t="s">
        <v>1211</v>
      </c>
      <c r="D71" t="s">
        <v>1224</v>
      </c>
      <c r="E71" t="s">
        <v>1309</v>
      </c>
      <c r="F71" t="s">
        <v>1901</v>
      </c>
      <c r="G71" t="s">
        <v>1909</v>
      </c>
      <c r="H71" t="s">
        <v>1912</v>
      </c>
      <c r="I71" s="4">
        <v>325</v>
      </c>
      <c r="J71" s="3">
        <v>160</v>
      </c>
      <c r="K71" s="3">
        <f>Table1[[#This Row],[Quantity Sold]]*Table1[[#This Row],[Unit Price (INR)]]</f>
        <v>52000</v>
      </c>
      <c r="L71" t="s">
        <v>1922</v>
      </c>
    </row>
    <row r="72" spans="1:12" x14ac:dyDescent="0.35">
      <c r="A72" t="s">
        <v>81</v>
      </c>
      <c r="B72" s="5">
        <v>45578</v>
      </c>
      <c r="C72" t="s">
        <v>1212</v>
      </c>
      <c r="D72" t="s">
        <v>1233</v>
      </c>
      <c r="E72" t="s">
        <v>1310</v>
      </c>
      <c r="F72" t="s">
        <v>1906</v>
      </c>
      <c r="G72" t="s">
        <v>1907</v>
      </c>
      <c r="H72" t="s">
        <v>1917</v>
      </c>
      <c r="I72" s="4">
        <v>85</v>
      </c>
      <c r="J72" s="3">
        <v>307</v>
      </c>
      <c r="K72" s="3">
        <f>Table1[[#This Row],[Quantity Sold]]*Table1[[#This Row],[Unit Price (INR)]]</f>
        <v>26095</v>
      </c>
      <c r="L72" t="s">
        <v>1921</v>
      </c>
    </row>
    <row r="73" spans="1:12" x14ac:dyDescent="0.35">
      <c r="A73" t="s">
        <v>82</v>
      </c>
      <c r="B73" s="5">
        <v>45579</v>
      </c>
      <c r="C73" t="s">
        <v>1211</v>
      </c>
      <c r="D73" t="s">
        <v>1221</v>
      </c>
      <c r="E73" t="s">
        <v>1311</v>
      </c>
      <c r="F73" t="s">
        <v>1899</v>
      </c>
      <c r="G73" t="s">
        <v>1908</v>
      </c>
      <c r="H73" t="s">
        <v>1913</v>
      </c>
      <c r="I73" s="4">
        <v>96</v>
      </c>
      <c r="J73" s="3">
        <v>142</v>
      </c>
      <c r="K73" s="3">
        <f>Table1[[#This Row],[Quantity Sold]]*Table1[[#This Row],[Unit Price (INR)]]</f>
        <v>13632</v>
      </c>
      <c r="L73" t="s">
        <v>1920</v>
      </c>
    </row>
    <row r="74" spans="1:12" x14ac:dyDescent="0.35">
      <c r="A74" t="s">
        <v>83</v>
      </c>
      <c r="B74" s="5">
        <v>45580</v>
      </c>
      <c r="C74" t="s">
        <v>1212</v>
      </c>
      <c r="D74" t="s">
        <v>1229</v>
      </c>
      <c r="E74" t="s">
        <v>1312</v>
      </c>
      <c r="F74" t="s">
        <v>1906</v>
      </c>
      <c r="G74" t="s">
        <v>1908</v>
      </c>
      <c r="H74" t="s">
        <v>1915</v>
      </c>
      <c r="I74" s="4">
        <v>279</v>
      </c>
      <c r="J74" s="3">
        <v>62</v>
      </c>
      <c r="K74" s="3">
        <f>Table1[[#This Row],[Quantity Sold]]*Table1[[#This Row],[Unit Price (INR)]]</f>
        <v>17298</v>
      </c>
      <c r="L74" t="s">
        <v>1920</v>
      </c>
    </row>
    <row r="75" spans="1:12" x14ac:dyDescent="0.35">
      <c r="A75" t="s">
        <v>84</v>
      </c>
      <c r="B75" s="5">
        <v>45581</v>
      </c>
      <c r="C75" t="s">
        <v>1213</v>
      </c>
      <c r="D75" t="s">
        <v>1244</v>
      </c>
      <c r="E75" t="s">
        <v>1313</v>
      </c>
      <c r="F75" t="s">
        <v>1902</v>
      </c>
      <c r="G75" t="s">
        <v>1908</v>
      </c>
      <c r="H75" t="s">
        <v>1912</v>
      </c>
      <c r="I75" s="4">
        <v>234</v>
      </c>
      <c r="J75" s="3">
        <v>309</v>
      </c>
      <c r="K75" s="3">
        <f>Table1[[#This Row],[Quantity Sold]]*Table1[[#This Row],[Unit Price (INR)]]</f>
        <v>72306</v>
      </c>
      <c r="L75" t="s">
        <v>1921</v>
      </c>
    </row>
    <row r="76" spans="1:12" x14ac:dyDescent="0.35">
      <c r="A76" t="s">
        <v>85</v>
      </c>
      <c r="B76" s="5">
        <v>45582</v>
      </c>
      <c r="C76" t="s">
        <v>1211</v>
      </c>
      <c r="D76" t="s">
        <v>1218</v>
      </c>
      <c r="E76" t="s">
        <v>1314</v>
      </c>
      <c r="F76" t="s">
        <v>1902</v>
      </c>
      <c r="G76" t="s">
        <v>1907</v>
      </c>
      <c r="H76" t="s">
        <v>1918</v>
      </c>
      <c r="I76" s="4">
        <v>27</v>
      </c>
      <c r="J76" s="3">
        <v>475</v>
      </c>
      <c r="K76" s="3">
        <f>Table1[[#This Row],[Quantity Sold]]*Table1[[#This Row],[Unit Price (INR)]]</f>
        <v>12825</v>
      </c>
      <c r="L76" t="s">
        <v>1923</v>
      </c>
    </row>
    <row r="77" spans="1:12" x14ac:dyDescent="0.35">
      <c r="A77" t="s">
        <v>86</v>
      </c>
      <c r="B77" s="5">
        <v>45583</v>
      </c>
      <c r="C77" t="s">
        <v>1214</v>
      </c>
      <c r="D77" t="s">
        <v>1228</v>
      </c>
      <c r="E77" t="s">
        <v>1315</v>
      </c>
      <c r="F77" t="s">
        <v>1904</v>
      </c>
      <c r="G77" t="s">
        <v>1911</v>
      </c>
      <c r="H77" t="s">
        <v>1914</v>
      </c>
      <c r="I77" s="4">
        <v>122</v>
      </c>
      <c r="J77" s="3">
        <v>158</v>
      </c>
      <c r="K77" s="3">
        <f>Table1[[#This Row],[Quantity Sold]]*Table1[[#This Row],[Unit Price (INR)]]</f>
        <v>19276</v>
      </c>
      <c r="L77" t="s">
        <v>1922</v>
      </c>
    </row>
    <row r="78" spans="1:12" x14ac:dyDescent="0.35">
      <c r="A78" t="s">
        <v>87</v>
      </c>
      <c r="B78" s="5">
        <v>45584</v>
      </c>
      <c r="C78" t="s">
        <v>1216</v>
      </c>
      <c r="D78" t="s">
        <v>1239</v>
      </c>
      <c r="E78" t="s">
        <v>1316</v>
      </c>
      <c r="F78" t="s">
        <v>1905</v>
      </c>
      <c r="G78" t="s">
        <v>1909</v>
      </c>
      <c r="H78" t="s">
        <v>1916</v>
      </c>
      <c r="I78" s="4">
        <v>260</v>
      </c>
      <c r="J78" s="3">
        <v>379</v>
      </c>
      <c r="K78" s="3">
        <f>Table1[[#This Row],[Quantity Sold]]*Table1[[#This Row],[Unit Price (INR)]]</f>
        <v>98540</v>
      </c>
      <c r="L78" t="s">
        <v>1920</v>
      </c>
    </row>
    <row r="79" spans="1:12" x14ac:dyDescent="0.35">
      <c r="A79" t="s">
        <v>88</v>
      </c>
      <c r="B79" s="5">
        <v>45585</v>
      </c>
      <c r="C79" t="s">
        <v>1217</v>
      </c>
      <c r="D79" t="s">
        <v>1245</v>
      </c>
      <c r="E79" t="s">
        <v>1317</v>
      </c>
      <c r="F79" t="s">
        <v>1899</v>
      </c>
      <c r="G79" t="s">
        <v>1908</v>
      </c>
      <c r="H79" t="s">
        <v>1919</v>
      </c>
      <c r="I79" s="4">
        <v>242</v>
      </c>
      <c r="J79" s="3">
        <v>238</v>
      </c>
      <c r="K79" s="3">
        <f>Table1[[#This Row],[Quantity Sold]]*Table1[[#This Row],[Unit Price (INR)]]</f>
        <v>57596</v>
      </c>
      <c r="L79" t="s">
        <v>1921</v>
      </c>
    </row>
    <row r="80" spans="1:12" x14ac:dyDescent="0.35">
      <c r="A80" t="s">
        <v>89</v>
      </c>
      <c r="B80" s="5">
        <v>45586</v>
      </c>
      <c r="C80" t="s">
        <v>1212</v>
      </c>
      <c r="D80" t="s">
        <v>1233</v>
      </c>
      <c r="E80" t="s">
        <v>1318</v>
      </c>
      <c r="F80" t="s">
        <v>1898</v>
      </c>
      <c r="G80" t="s">
        <v>1908</v>
      </c>
      <c r="H80" t="s">
        <v>1917</v>
      </c>
      <c r="I80" s="4">
        <v>338</v>
      </c>
      <c r="J80" s="3">
        <v>144</v>
      </c>
      <c r="K80" s="3">
        <f>Table1[[#This Row],[Quantity Sold]]*Table1[[#This Row],[Unit Price (INR)]]</f>
        <v>48672</v>
      </c>
      <c r="L80" t="s">
        <v>1922</v>
      </c>
    </row>
    <row r="81" spans="1:12" x14ac:dyDescent="0.35">
      <c r="A81" t="s">
        <v>90</v>
      </c>
      <c r="B81" s="5">
        <v>45587</v>
      </c>
      <c r="C81" t="s">
        <v>1215</v>
      </c>
      <c r="D81" t="s">
        <v>1242</v>
      </c>
      <c r="E81" t="s">
        <v>1319</v>
      </c>
      <c r="F81" t="s">
        <v>1903</v>
      </c>
      <c r="G81" t="s">
        <v>1908</v>
      </c>
      <c r="H81" t="s">
        <v>1919</v>
      </c>
      <c r="I81" s="4">
        <v>288</v>
      </c>
      <c r="J81" s="3">
        <v>154</v>
      </c>
      <c r="K81" s="3">
        <f>Table1[[#This Row],[Quantity Sold]]*Table1[[#This Row],[Unit Price (INR)]]</f>
        <v>44352</v>
      </c>
      <c r="L81" t="s">
        <v>1923</v>
      </c>
    </row>
    <row r="82" spans="1:12" x14ac:dyDescent="0.35">
      <c r="A82" t="s">
        <v>91</v>
      </c>
      <c r="B82" s="5">
        <v>45588</v>
      </c>
      <c r="C82" t="s">
        <v>1212</v>
      </c>
      <c r="D82" t="s">
        <v>1219</v>
      </c>
      <c r="E82" t="s">
        <v>1320</v>
      </c>
      <c r="F82" t="s">
        <v>1906</v>
      </c>
      <c r="G82" t="s">
        <v>1909</v>
      </c>
      <c r="H82" t="s">
        <v>1912</v>
      </c>
      <c r="I82" s="4">
        <v>211</v>
      </c>
      <c r="J82" s="3">
        <v>57</v>
      </c>
      <c r="K82" s="3">
        <f>Table1[[#This Row],[Quantity Sold]]*Table1[[#This Row],[Unit Price (INR)]]</f>
        <v>12027</v>
      </c>
      <c r="L82" t="s">
        <v>1923</v>
      </c>
    </row>
    <row r="83" spans="1:12" x14ac:dyDescent="0.35">
      <c r="A83" t="s">
        <v>92</v>
      </c>
      <c r="B83" s="5">
        <v>45589</v>
      </c>
      <c r="C83" t="s">
        <v>1215</v>
      </c>
      <c r="D83" t="s">
        <v>1236</v>
      </c>
      <c r="E83" t="s">
        <v>1321</v>
      </c>
      <c r="F83" t="s">
        <v>1905</v>
      </c>
      <c r="G83" t="s">
        <v>1908</v>
      </c>
      <c r="H83" t="s">
        <v>1914</v>
      </c>
      <c r="I83" s="4">
        <v>92</v>
      </c>
      <c r="J83" s="3">
        <v>116</v>
      </c>
      <c r="K83" s="3">
        <f>Table1[[#This Row],[Quantity Sold]]*Table1[[#This Row],[Unit Price (INR)]]</f>
        <v>10672</v>
      </c>
      <c r="L83" t="s">
        <v>1922</v>
      </c>
    </row>
    <row r="84" spans="1:12" x14ac:dyDescent="0.35">
      <c r="A84" t="s">
        <v>93</v>
      </c>
      <c r="B84" s="5">
        <v>45590</v>
      </c>
      <c r="C84" t="s">
        <v>1216</v>
      </c>
      <c r="D84" t="s">
        <v>1241</v>
      </c>
      <c r="E84" t="s">
        <v>1322</v>
      </c>
      <c r="F84" t="s">
        <v>1904</v>
      </c>
      <c r="G84" t="s">
        <v>1909</v>
      </c>
      <c r="H84" t="s">
        <v>1917</v>
      </c>
      <c r="I84" s="4">
        <v>134</v>
      </c>
      <c r="J84" s="3">
        <v>240</v>
      </c>
      <c r="K84" s="3">
        <f>Table1[[#This Row],[Quantity Sold]]*Table1[[#This Row],[Unit Price (INR)]]</f>
        <v>32160</v>
      </c>
      <c r="L84" t="s">
        <v>1923</v>
      </c>
    </row>
    <row r="85" spans="1:12" x14ac:dyDescent="0.35">
      <c r="A85" t="s">
        <v>94</v>
      </c>
      <c r="B85" s="5">
        <v>45591</v>
      </c>
      <c r="C85" t="s">
        <v>1216</v>
      </c>
      <c r="D85" t="s">
        <v>1230</v>
      </c>
      <c r="E85" t="s">
        <v>1323</v>
      </c>
      <c r="F85" t="s">
        <v>1897</v>
      </c>
      <c r="G85" t="s">
        <v>1908</v>
      </c>
      <c r="H85" t="s">
        <v>1919</v>
      </c>
      <c r="I85" s="4">
        <v>184</v>
      </c>
      <c r="J85" s="3">
        <v>415</v>
      </c>
      <c r="K85" s="3">
        <f>Table1[[#This Row],[Quantity Sold]]*Table1[[#This Row],[Unit Price (INR)]]</f>
        <v>76360</v>
      </c>
      <c r="L85" t="s">
        <v>1920</v>
      </c>
    </row>
    <row r="86" spans="1:12" x14ac:dyDescent="0.35">
      <c r="A86" t="s">
        <v>95</v>
      </c>
      <c r="B86" s="5">
        <v>45592</v>
      </c>
      <c r="C86" t="s">
        <v>1216</v>
      </c>
      <c r="D86" t="s">
        <v>1239</v>
      </c>
      <c r="E86" t="s">
        <v>1324</v>
      </c>
      <c r="F86" t="s">
        <v>1898</v>
      </c>
      <c r="G86" t="s">
        <v>1907</v>
      </c>
      <c r="H86" t="s">
        <v>1915</v>
      </c>
      <c r="I86" s="4">
        <v>78</v>
      </c>
      <c r="J86" s="3">
        <v>305</v>
      </c>
      <c r="K86" s="3">
        <f>Table1[[#This Row],[Quantity Sold]]*Table1[[#This Row],[Unit Price (INR)]]</f>
        <v>23790</v>
      </c>
      <c r="L86" t="s">
        <v>1920</v>
      </c>
    </row>
    <row r="87" spans="1:12" x14ac:dyDescent="0.35">
      <c r="A87" t="s">
        <v>96</v>
      </c>
      <c r="B87" s="5">
        <v>45593</v>
      </c>
      <c r="C87" t="s">
        <v>1215</v>
      </c>
      <c r="D87" t="s">
        <v>1231</v>
      </c>
      <c r="E87" t="s">
        <v>1325</v>
      </c>
      <c r="F87" t="s">
        <v>1900</v>
      </c>
      <c r="G87" t="s">
        <v>1907</v>
      </c>
      <c r="H87" t="s">
        <v>1914</v>
      </c>
      <c r="I87" s="4">
        <v>56</v>
      </c>
      <c r="J87" s="3">
        <v>58</v>
      </c>
      <c r="K87" s="3">
        <f>Table1[[#This Row],[Quantity Sold]]*Table1[[#This Row],[Unit Price (INR)]]</f>
        <v>3248</v>
      </c>
      <c r="L87" t="s">
        <v>1920</v>
      </c>
    </row>
    <row r="88" spans="1:12" x14ac:dyDescent="0.35">
      <c r="A88" t="s">
        <v>97</v>
      </c>
      <c r="B88" s="5">
        <v>45594</v>
      </c>
      <c r="C88" t="s">
        <v>1212</v>
      </c>
      <c r="D88" t="s">
        <v>1229</v>
      </c>
      <c r="E88" t="s">
        <v>1321</v>
      </c>
      <c r="F88" t="s">
        <v>1905</v>
      </c>
      <c r="G88" t="s">
        <v>1909</v>
      </c>
      <c r="H88" t="s">
        <v>1916</v>
      </c>
      <c r="I88" s="4">
        <v>381</v>
      </c>
      <c r="J88" s="3">
        <v>166</v>
      </c>
      <c r="K88" s="3">
        <f>Table1[[#This Row],[Quantity Sold]]*Table1[[#This Row],[Unit Price (INR)]]</f>
        <v>63246</v>
      </c>
      <c r="L88" t="s">
        <v>1923</v>
      </c>
    </row>
    <row r="89" spans="1:12" x14ac:dyDescent="0.35">
      <c r="A89" t="s">
        <v>98</v>
      </c>
      <c r="B89" s="5">
        <v>45595</v>
      </c>
      <c r="C89" t="s">
        <v>1216</v>
      </c>
      <c r="D89" t="s">
        <v>1239</v>
      </c>
      <c r="E89" t="s">
        <v>1326</v>
      </c>
      <c r="F89" t="s">
        <v>1897</v>
      </c>
      <c r="G89" t="s">
        <v>1907</v>
      </c>
      <c r="H89" t="s">
        <v>1915</v>
      </c>
      <c r="I89" s="4">
        <v>265</v>
      </c>
      <c r="J89" s="3">
        <v>316</v>
      </c>
      <c r="K89" s="3">
        <f>Table1[[#This Row],[Quantity Sold]]*Table1[[#This Row],[Unit Price (INR)]]</f>
        <v>83740</v>
      </c>
      <c r="L89" t="s">
        <v>1920</v>
      </c>
    </row>
    <row r="90" spans="1:12" x14ac:dyDescent="0.35">
      <c r="A90" t="s">
        <v>99</v>
      </c>
      <c r="B90" s="5">
        <v>45596</v>
      </c>
      <c r="C90" t="s">
        <v>1213</v>
      </c>
      <c r="D90" t="s">
        <v>1223</v>
      </c>
      <c r="E90" t="s">
        <v>1327</v>
      </c>
      <c r="F90" t="s">
        <v>1899</v>
      </c>
      <c r="G90" t="s">
        <v>1909</v>
      </c>
      <c r="H90" t="s">
        <v>1914</v>
      </c>
      <c r="I90" s="4">
        <v>224</v>
      </c>
      <c r="J90" s="3">
        <v>148</v>
      </c>
      <c r="K90" s="3">
        <f>Table1[[#This Row],[Quantity Sold]]*Table1[[#This Row],[Unit Price (INR)]]</f>
        <v>33152</v>
      </c>
      <c r="L90" t="s">
        <v>1921</v>
      </c>
    </row>
    <row r="91" spans="1:12" x14ac:dyDescent="0.35">
      <c r="A91" t="s">
        <v>100</v>
      </c>
      <c r="B91" s="5">
        <v>45597</v>
      </c>
      <c r="C91" t="s">
        <v>1211</v>
      </c>
      <c r="D91" t="s">
        <v>1224</v>
      </c>
      <c r="E91" t="s">
        <v>1254</v>
      </c>
      <c r="F91" t="s">
        <v>1904</v>
      </c>
      <c r="G91" t="s">
        <v>1907</v>
      </c>
      <c r="H91" t="s">
        <v>1913</v>
      </c>
      <c r="I91" s="4">
        <v>39</v>
      </c>
      <c r="J91" s="3">
        <v>347</v>
      </c>
      <c r="K91" s="3">
        <f>Table1[[#This Row],[Quantity Sold]]*Table1[[#This Row],[Unit Price (INR)]]</f>
        <v>13533</v>
      </c>
      <c r="L91" t="s">
        <v>1920</v>
      </c>
    </row>
    <row r="92" spans="1:12" x14ac:dyDescent="0.35">
      <c r="A92" t="s">
        <v>101</v>
      </c>
      <c r="B92" s="5">
        <v>45598</v>
      </c>
      <c r="C92" t="s">
        <v>1215</v>
      </c>
      <c r="D92" t="s">
        <v>1242</v>
      </c>
      <c r="E92" t="s">
        <v>1328</v>
      </c>
      <c r="F92" t="s">
        <v>1898</v>
      </c>
      <c r="G92" t="s">
        <v>1907</v>
      </c>
      <c r="H92" t="s">
        <v>1917</v>
      </c>
      <c r="I92" s="4">
        <v>290</v>
      </c>
      <c r="J92" s="3">
        <v>446</v>
      </c>
      <c r="K92" s="3">
        <f>Table1[[#This Row],[Quantity Sold]]*Table1[[#This Row],[Unit Price (INR)]]</f>
        <v>129340</v>
      </c>
      <c r="L92" t="s">
        <v>1920</v>
      </c>
    </row>
    <row r="93" spans="1:12" x14ac:dyDescent="0.35">
      <c r="A93" t="s">
        <v>102</v>
      </c>
      <c r="B93" s="5">
        <v>45599</v>
      </c>
      <c r="C93" t="s">
        <v>1215</v>
      </c>
      <c r="D93" t="s">
        <v>1231</v>
      </c>
      <c r="E93" t="s">
        <v>1319</v>
      </c>
      <c r="F93" t="s">
        <v>1898</v>
      </c>
      <c r="G93" t="s">
        <v>1909</v>
      </c>
      <c r="H93" t="s">
        <v>1918</v>
      </c>
      <c r="I93" s="4">
        <v>421</v>
      </c>
      <c r="J93" s="3">
        <v>213</v>
      </c>
      <c r="K93" s="3">
        <f>Table1[[#This Row],[Quantity Sold]]*Table1[[#This Row],[Unit Price (INR)]]</f>
        <v>89673</v>
      </c>
      <c r="L93" t="s">
        <v>1923</v>
      </c>
    </row>
    <row r="94" spans="1:12" x14ac:dyDescent="0.35">
      <c r="A94" t="s">
        <v>103</v>
      </c>
      <c r="B94" s="5">
        <v>45600</v>
      </c>
      <c r="C94" t="s">
        <v>1212</v>
      </c>
      <c r="D94" t="s">
        <v>1229</v>
      </c>
      <c r="E94" t="s">
        <v>1329</v>
      </c>
      <c r="F94" t="s">
        <v>1898</v>
      </c>
      <c r="G94" t="s">
        <v>1911</v>
      </c>
      <c r="H94" t="s">
        <v>1916</v>
      </c>
      <c r="I94" s="4">
        <v>491</v>
      </c>
      <c r="J94" s="3">
        <v>425</v>
      </c>
      <c r="K94" s="3">
        <f>Table1[[#This Row],[Quantity Sold]]*Table1[[#This Row],[Unit Price (INR)]]</f>
        <v>208675</v>
      </c>
      <c r="L94" t="s">
        <v>1920</v>
      </c>
    </row>
    <row r="95" spans="1:12" x14ac:dyDescent="0.35">
      <c r="A95" t="s">
        <v>104</v>
      </c>
      <c r="B95" s="5">
        <v>45601</v>
      </c>
      <c r="C95" t="s">
        <v>1215</v>
      </c>
      <c r="D95" t="s">
        <v>1243</v>
      </c>
      <c r="E95" t="s">
        <v>1330</v>
      </c>
      <c r="F95" t="s">
        <v>1899</v>
      </c>
      <c r="G95" t="s">
        <v>1907</v>
      </c>
      <c r="H95" t="s">
        <v>1912</v>
      </c>
      <c r="I95" s="4">
        <v>246</v>
      </c>
      <c r="J95" s="3">
        <v>190</v>
      </c>
      <c r="K95" s="3">
        <f>Table1[[#This Row],[Quantity Sold]]*Table1[[#This Row],[Unit Price (INR)]]</f>
        <v>46740</v>
      </c>
      <c r="L95" t="s">
        <v>1922</v>
      </c>
    </row>
    <row r="96" spans="1:12" x14ac:dyDescent="0.35">
      <c r="A96" t="s">
        <v>105</v>
      </c>
      <c r="B96" s="5">
        <v>45602</v>
      </c>
      <c r="C96" t="s">
        <v>1215</v>
      </c>
      <c r="D96" t="s">
        <v>1243</v>
      </c>
      <c r="E96" t="s">
        <v>1331</v>
      </c>
      <c r="F96" t="s">
        <v>1906</v>
      </c>
      <c r="G96" t="s">
        <v>1908</v>
      </c>
      <c r="H96" t="s">
        <v>1915</v>
      </c>
      <c r="I96" s="4">
        <v>257</v>
      </c>
      <c r="J96" s="3">
        <v>317</v>
      </c>
      <c r="K96" s="3">
        <f>Table1[[#This Row],[Quantity Sold]]*Table1[[#This Row],[Unit Price (INR)]]</f>
        <v>81469</v>
      </c>
      <c r="L96" t="s">
        <v>1921</v>
      </c>
    </row>
    <row r="97" spans="1:12" x14ac:dyDescent="0.35">
      <c r="A97" t="s">
        <v>106</v>
      </c>
      <c r="B97" s="5">
        <v>45603</v>
      </c>
      <c r="C97" t="s">
        <v>1216</v>
      </c>
      <c r="D97" t="s">
        <v>1239</v>
      </c>
      <c r="E97" t="s">
        <v>1332</v>
      </c>
      <c r="F97" t="s">
        <v>1900</v>
      </c>
      <c r="G97" t="s">
        <v>1911</v>
      </c>
      <c r="H97" t="s">
        <v>1915</v>
      </c>
      <c r="I97" s="4">
        <v>377</v>
      </c>
      <c r="J97" s="3">
        <v>86</v>
      </c>
      <c r="K97" s="3">
        <f>Table1[[#This Row],[Quantity Sold]]*Table1[[#This Row],[Unit Price (INR)]]</f>
        <v>32422</v>
      </c>
      <c r="L97" t="s">
        <v>1923</v>
      </c>
    </row>
    <row r="98" spans="1:12" x14ac:dyDescent="0.35">
      <c r="A98" t="s">
        <v>107</v>
      </c>
      <c r="B98" s="5">
        <v>45604</v>
      </c>
      <c r="C98" t="s">
        <v>1212</v>
      </c>
      <c r="D98" t="s">
        <v>1233</v>
      </c>
      <c r="E98" t="s">
        <v>1333</v>
      </c>
      <c r="F98" t="s">
        <v>1899</v>
      </c>
      <c r="G98" t="s">
        <v>1909</v>
      </c>
      <c r="H98" t="s">
        <v>1919</v>
      </c>
      <c r="I98" s="4">
        <v>34</v>
      </c>
      <c r="J98" s="3">
        <v>123</v>
      </c>
      <c r="K98" s="3">
        <f>Table1[[#This Row],[Quantity Sold]]*Table1[[#This Row],[Unit Price (INR)]]</f>
        <v>4182</v>
      </c>
      <c r="L98" t="s">
        <v>1921</v>
      </c>
    </row>
    <row r="99" spans="1:12" x14ac:dyDescent="0.35">
      <c r="A99" t="s">
        <v>108</v>
      </c>
      <c r="B99" s="5">
        <v>45605</v>
      </c>
      <c r="C99" t="s">
        <v>1216</v>
      </c>
      <c r="D99" t="s">
        <v>1239</v>
      </c>
      <c r="E99" t="s">
        <v>1334</v>
      </c>
      <c r="F99" t="s">
        <v>1903</v>
      </c>
      <c r="G99" t="s">
        <v>1911</v>
      </c>
      <c r="H99" t="s">
        <v>1917</v>
      </c>
      <c r="I99" s="4">
        <v>83</v>
      </c>
      <c r="J99" s="3">
        <v>122</v>
      </c>
      <c r="K99" s="3">
        <f>Table1[[#This Row],[Quantity Sold]]*Table1[[#This Row],[Unit Price (INR)]]</f>
        <v>10126</v>
      </c>
      <c r="L99" t="s">
        <v>1922</v>
      </c>
    </row>
    <row r="100" spans="1:12" x14ac:dyDescent="0.35">
      <c r="A100" t="s">
        <v>109</v>
      </c>
      <c r="B100" s="5">
        <v>45606</v>
      </c>
      <c r="C100" t="s">
        <v>1211</v>
      </c>
      <c r="D100" t="s">
        <v>1224</v>
      </c>
      <c r="E100" t="s">
        <v>1335</v>
      </c>
      <c r="F100" t="s">
        <v>1900</v>
      </c>
      <c r="G100" t="s">
        <v>1910</v>
      </c>
      <c r="H100" t="s">
        <v>1912</v>
      </c>
      <c r="I100" s="4">
        <v>215</v>
      </c>
      <c r="J100" s="3">
        <v>357</v>
      </c>
      <c r="K100" s="3">
        <f>Table1[[#This Row],[Quantity Sold]]*Table1[[#This Row],[Unit Price (INR)]]</f>
        <v>76755</v>
      </c>
      <c r="L100" t="s">
        <v>1923</v>
      </c>
    </row>
    <row r="101" spans="1:12" x14ac:dyDescent="0.35">
      <c r="A101" t="s">
        <v>110</v>
      </c>
      <c r="B101" s="5">
        <v>45607</v>
      </c>
      <c r="C101" t="s">
        <v>1211</v>
      </c>
      <c r="D101" t="s">
        <v>1224</v>
      </c>
      <c r="E101" t="s">
        <v>1336</v>
      </c>
      <c r="F101" t="s">
        <v>1902</v>
      </c>
      <c r="G101" t="s">
        <v>1910</v>
      </c>
      <c r="H101" t="s">
        <v>1918</v>
      </c>
      <c r="I101" s="4">
        <v>499</v>
      </c>
      <c r="J101" s="3">
        <v>248</v>
      </c>
      <c r="K101" s="3">
        <f>Table1[[#This Row],[Quantity Sold]]*Table1[[#This Row],[Unit Price (INR)]]</f>
        <v>123752</v>
      </c>
      <c r="L101" t="s">
        <v>1923</v>
      </c>
    </row>
    <row r="102" spans="1:12" x14ac:dyDescent="0.35">
      <c r="A102" t="s">
        <v>111</v>
      </c>
      <c r="B102" s="5">
        <v>45608</v>
      </c>
      <c r="C102" t="s">
        <v>1216</v>
      </c>
      <c r="D102" t="s">
        <v>1241</v>
      </c>
      <c r="E102" t="s">
        <v>1337</v>
      </c>
      <c r="F102" t="s">
        <v>1904</v>
      </c>
      <c r="G102" t="s">
        <v>1907</v>
      </c>
      <c r="H102" t="s">
        <v>1914</v>
      </c>
      <c r="I102" s="4">
        <v>323</v>
      </c>
      <c r="J102" s="3">
        <v>179</v>
      </c>
      <c r="K102" s="3">
        <f>Table1[[#This Row],[Quantity Sold]]*Table1[[#This Row],[Unit Price (INR)]]</f>
        <v>57817</v>
      </c>
      <c r="L102" t="s">
        <v>1920</v>
      </c>
    </row>
    <row r="103" spans="1:12" x14ac:dyDescent="0.35">
      <c r="A103" t="s">
        <v>112</v>
      </c>
      <c r="B103" s="5">
        <v>45609</v>
      </c>
      <c r="C103" t="s">
        <v>1211</v>
      </c>
      <c r="D103" t="s">
        <v>1218</v>
      </c>
      <c r="E103" t="s">
        <v>1338</v>
      </c>
      <c r="F103" t="s">
        <v>1899</v>
      </c>
      <c r="G103" t="s">
        <v>1907</v>
      </c>
      <c r="H103" t="s">
        <v>1918</v>
      </c>
      <c r="I103" s="4">
        <v>103</v>
      </c>
      <c r="J103" s="3">
        <v>295</v>
      </c>
      <c r="K103" s="3">
        <f>Table1[[#This Row],[Quantity Sold]]*Table1[[#This Row],[Unit Price (INR)]]</f>
        <v>30385</v>
      </c>
      <c r="L103" t="s">
        <v>1921</v>
      </c>
    </row>
    <row r="104" spans="1:12" x14ac:dyDescent="0.35">
      <c r="A104" t="s">
        <v>113</v>
      </c>
      <c r="B104" s="5">
        <v>45610</v>
      </c>
      <c r="C104" t="s">
        <v>1212</v>
      </c>
      <c r="D104" t="s">
        <v>1233</v>
      </c>
      <c r="E104" t="s">
        <v>1339</v>
      </c>
      <c r="F104" t="s">
        <v>1897</v>
      </c>
      <c r="G104" t="s">
        <v>1908</v>
      </c>
      <c r="H104" t="s">
        <v>1917</v>
      </c>
      <c r="I104" s="4">
        <v>384</v>
      </c>
      <c r="J104" s="3">
        <v>361</v>
      </c>
      <c r="K104" s="3">
        <f>Table1[[#This Row],[Quantity Sold]]*Table1[[#This Row],[Unit Price (INR)]]</f>
        <v>138624</v>
      </c>
      <c r="L104" t="s">
        <v>1922</v>
      </c>
    </row>
    <row r="105" spans="1:12" x14ac:dyDescent="0.35">
      <c r="A105" t="s">
        <v>114</v>
      </c>
      <c r="B105" s="5">
        <v>45611</v>
      </c>
      <c r="C105" t="s">
        <v>1217</v>
      </c>
      <c r="D105" t="s">
        <v>1235</v>
      </c>
      <c r="E105" t="s">
        <v>1340</v>
      </c>
      <c r="F105" t="s">
        <v>1900</v>
      </c>
      <c r="G105" t="s">
        <v>1911</v>
      </c>
      <c r="H105" t="s">
        <v>1917</v>
      </c>
      <c r="I105" s="4">
        <v>136</v>
      </c>
      <c r="J105" s="3">
        <v>109</v>
      </c>
      <c r="K105" s="3">
        <f>Table1[[#This Row],[Quantity Sold]]*Table1[[#This Row],[Unit Price (INR)]]</f>
        <v>14824</v>
      </c>
      <c r="L105" t="s">
        <v>1922</v>
      </c>
    </row>
    <row r="106" spans="1:12" x14ac:dyDescent="0.35">
      <c r="A106" t="s">
        <v>115</v>
      </c>
      <c r="B106" s="5">
        <v>45612</v>
      </c>
      <c r="C106" t="s">
        <v>1216</v>
      </c>
      <c r="D106" t="s">
        <v>1232</v>
      </c>
      <c r="E106" t="s">
        <v>1341</v>
      </c>
      <c r="F106" t="s">
        <v>1903</v>
      </c>
      <c r="G106" t="s">
        <v>1910</v>
      </c>
      <c r="H106" t="s">
        <v>1913</v>
      </c>
      <c r="I106" s="4">
        <v>434</v>
      </c>
      <c r="J106" s="3">
        <v>328</v>
      </c>
      <c r="K106" s="3">
        <f>Table1[[#This Row],[Quantity Sold]]*Table1[[#This Row],[Unit Price (INR)]]</f>
        <v>142352</v>
      </c>
      <c r="L106" t="s">
        <v>1923</v>
      </c>
    </row>
    <row r="107" spans="1:12" x14ac:dyDescent="0.35">
      <c r="A107" t="s">
        <v>116</v>
      </c>
      <c r="B107" s="5">
        <v>45613</v>
      </c>
      <c r="C107" t="s">
        <v>1213</v>
      </c>
      <c r="D107" t="s">
        <v>1234</v>
      </c>
      <c r="E107" t="s">
        <v>1342</v>
      </c>
      <c r="F107" t="s">
        <v>1902</v>
      </c>
      <c r="G107" t="s">
        <v>1907</v>
      </c>
      <c r="H107" t="s">
        <v>1913</v>
      </c>
      <c r="I107" s="4">
        <v>34</v>
      </c>
      <c r="J107" s="3">
        <v>152</v>
      </c>
      <c r="K107" s="3">
        <f>Table1[[#This Row],[Quantity Sold]]*Table1[[#This Row],[Unit Price (INR)]]</f>
        <v>5168</v>
      </c>
      <c r="L107" t="s">
        <v>1920</v>
      </c>
    </row>
    <row r="108" spans="1:12" x14ac:dyDescent="0.35">
      <c r="A108" t="s">
        <v>117</v>
      </c>
      <c r="B108" s="5">
        <v>45614</v>
      </c>
      <c r="C108" t="s">
        <v>1213</v>
      </c>
      <c r="D108" t="s">
        <v>1223</v>
      </c>
      <c r="E108" t="s">
        <v>1343</v>
      </c>
      <c r="F108" t="s">
        <v>1906</v>
      </c>
      <c r="G108" t="s">
        <v>1911</v>
      </c>
      <c r="H108" t="s">
        <v>1918</v>
      </c>
      <c r="I108" s="4">
        <v>343</v>
      </c>
      <c r="J108" s="3">
        <v>345</v>
      </c>
      <c r="K108" s="3">
        <f>Table1[[#This Row],[Quantity Sold]]*Table1[[#This Row],[Unit Price (INR)]]</f>
        <v>118335</v>
      </c>
      <c r="L108" t="s">
        <v>1923</v>
      </c>
    </row>
    <row r="109" spans="1:12" x14ac:dyDescent="0.35">
      <c r="A109" t="s">
        <v>118</v>
      </c>
      <c r="B109" s="5">
        <v>45615</v>
      </c>
      <c r="C109" t="s">
        <v>1215</v>
      </c>
      <c r="D109" t="s">
        <v>1242</v>
      </c>
      <c r="E109" t="s">
        <v>1344</v>
      </c>
      <c r="F109" t="s">
        <v>1897</v>
      </c>
      <c r="G109" t="s">
        <v>1907</v>
      </c>
      <c r="H109" t="s">
        <v>1914</v>
      </c>
      <c r="I109" s="4">
        <v>364</v>
      </c>
      <c r="J109" s="3">
        <v>369</v>
      </c>
      <c r="K109" s="3">
        <f>Table1[[#This Row],[Quantity Sold]]*Table1[[#This Row],[Unit Price (INR)]]</f>
        <v>134316</v>
      </c>
      <c r="L109" t="s">
        <v>1923</v>
      </c>
    </row>
    <row r="110" spans="1:12" x14ac:dyDescent="0.35">
      <c r="A110" t="s">
        <v>119</v>
      </c>
      <c r="B110" s="5">
        <v>45616</v>
      </c>
      <c r="C110" t="s">
        <v>1211</v>
      </c>
      <c r="D110" t="s">
        <v>1224</v>
      </c>
      <c r="E110" t="s">
        <v>1345</v>
      </c>
      <c r="F110" t="s">
        <v>1900</v>
      </c>
      <c r="G110" t="s">
        <v>1907</v>
      </c>
      <c r="H110" t="s">
        <v>1918</v>
      </c>
      <c r="I110" s="4">
        <v>125</v>
      </c>
      <c r="J110" s="3">
        <v>390</v>
      </c>
      <c r="K110" s="3">
        <f>Table1[[#This Row],[Quantity Sold]]*Table1[[#This Row],[Unit Price (INR)]]</f>
        <v>48750</v>
      </c>
      <c r="L110" t="s">
        <v>1923</v>
      </c>
    </row>
    <row r="111" spans="1:12" x14ac:dyDescent="0.35">
      <c r="A111" t="s">
        <v>120</v>
      </c>
      <c r="B111" s="5">
        <v>45617</v>
      </c>
      <c r="C111" t="s">
        <v>1213</v>
      </c>
      <c r="D111" t="s">
        <v>1234</v>
      </c>
      <c r="E111" t="s">
        <v>1346</v>
      </c>
      <c r="F111" t="s">
        <v>1904</v>
      </c>
      <c r="G111" t="s">
        <v>1910</v>
      </c>
      <c r="H111" t="s">
        <v>1917</v>
      </c>
      <c r="I111" s="4">
        <v>57</v>
      </c>
      <c r="J111" s="3">
        <v>200</v>
      </c>
      <c r="K111" s="3">
        <f>Table1[[#This Row],[Quantity Sold]]*Table1[[#This Row],[Unit Price (INR)]]</f>
        <v>11400</v>
      </c>
      <c r="L111" t="s">
        <v>1923</v>
      </c>
    </row>
    <row r="112" spans="1:12" x14ac:dyDescent="0.35">
      <c r="A112" t="s">
        <v>121</v>
      </c>
      <c r="B112" s="5">
        <v>45618</v>
      </c>
      <c r="C112" t="s">
        <v>1215</v>
      </c>
      <c r="D112" t="s">
        <v>1236</v>
      </c>
      <c r="E112" t="s">
        <v>1347</v>
      </c>
      <c r="F112" t="s">
        <v>1897</v>
      </c>
      <c r="G112" t="s">
        <v>1910</v>
      </c>
      <c r="H112" t="s">
        <v>1917</v>
      </c>
      <c r="I112" s="4">
        <v>235</v>
      </c>
      <c r="J112" s="3">
        <v>206</v>
      </c>
      <c r="K112" s="3">
        <f>Table1[[#This Row],[Quantity Sold]]*Table1[[#This Row],[Unit Price (INR)]]</f>
        <v>48410</v>
      </c>
      <c r="L112" t="s">
        <v>1922</v>
      </c>
    </row>
    <row r="113" spans="1:12" x14ac:dyDescent="0.35">
      <c r="A113" t="s">
        <v>122</v>
      </c>
      <c r="B113" s="5">
        <v>45619</v>
      </c>
      <c r="C113" t="s">
        <v>1217</v>
      </c>
      <c r="D113" t="s">
        <v>1238</v>
      </c>
      <c r="E113" t="s">
        <v>1348</v>
      </c>
      <c r="F113" t="s">
        <v>1902</v>
      </c>
      <c r="G113" t="s">
        <v>1907</v>
      </c>
      <c r="H113" t="s">
        <v>1919</v>
      </c>
      <c r="I113" s="4">
        <v>275</v>
      </c>
      <c r="J113" s="3">
        <v>255</v>
      </c>
      <c r="K113" s="3">
        <f>Table1[[#This Row],[Quantity Sold]]*Table1[[#This Row],[Unit Price (INR)]]</f>
        <v>70125</v>
      </c>
      <c r="L113" t="s">
        <v>1922</v>
      </c>
    </row>
    <row r="114" spans="1:12" x14ac:dyDescent="0.35">
      <c r="A114" t="s">
        <v>123</v>
      </c>
      <c r="B114" s="5">
        <v>45620</v>
      </c>
      <c r="C114" t="s">
        <v>1212</v>
      </c>
      <c r="D114" t="s">
        <v>1219</v>
      </c>
      <c r="E114" t="s">
        <v>1349</v>
      </c>
      <c r="F114" t="s">
        <v>1897</v>
      </c>
      <c r="G114" t="s">
        <v>1909</v>
      </c>
      <c r="H114" t="s">
        <v>1913</v>
      </c>
      <c r="I114" s="4">
        <v>108</v>
      </c>
      <c r="J114" s="3">
        <v>228</v>
      </c>
      <c r="K114" s="3">
        <f>Table1[[#This Row],[Quantity Sold]]*Table1[[#This Row],[Unit Price (INR)]]</f>
        <v>24624</v>
      </c>
      <c r="L114" t="s">
        <v>1923</v>
      </c>
    </row>
    <row r="115" spans="1:12" x14ac:dyDescent="0.35">
      <c r="A115" t="s">
        <v>124</v>
      </c>
      <c r="B115" s="5">
        <v>45621</v>
      </c>
      <c r="C115" t="s">
        <v>1212</v>
      </c>
      <c r="D115" t="s">
        <v>1219</v>
      </c>
      <c r="E115" t="s">
        <v>1350</v>
      </c>
      <c r="F115" t="s">
        <v>1901</v>
      </c>
      <c r="G115" t="s">
        <v>1907</v>
      </c>
      <c r="H115" t="s">
        <v>1912</v>
      </c>
      <c r="I115" s="4">
        <v>468</v>
      </c>
      <c r="J115" s="3">
        <v>246</v>
      </c>
      <c r="K115" s="3">
        <f>Table1[[#This Row],[Quantity Sold]]*Table1[[#This Row],[Unit Price (INR)]]</f>
        <v>115128</v>
      </c>
      <c r="L115" t="s">
        <v>1923</v>
      </c>
    </row>
    <row r="116" spans="1:12" x14ac:dyDescent="0.35">
      <c r="A116" t="s">
        <v>125</v>
      </c>
      <c r="B116" s="5">
        <v>45622</v>
      </c>
      <c r="C116" t="s">
        <v>1212</v>
      </c>
      <c r="D116" t="s">
        <v>1233</v>
      </c>
      <c r="E116" t="s">
        <v>1283</v>
      </c>
      <c r="F116" t="s">
        <v>1905</v>
      </c>
      <c r="G116" t="s">
        <v>1907</v>
      </c>
      <c r="H116" t="s">
        <v>1912</v>
      </c>
      <c r="I116" s="4">
        <v>20</v>
      </c>
      <c r="J116" s="3">
        <v>272</v>
      </c>
      <c r="K116" s="3">
        <f>Table1[[#This Row],[Quantity Sold]]*Table1[[#This Row],[Unit Price (INR)]]</f>
        <v>5440</v>
      </c>
      <c r="L116" t="s">
        <v>1920</v>
      </c>
    </row>
    <row r="117" spans="1:12" x14ac:dyDescent="0.35">
      <c r="A117" t="s">
        <v>126</v>
      </c>
      <c r="B117" s="5">
        <v>45623</v>
      </c>
      <c r="C117" t="s">
        <v>1213</v>
      </c>
      <c r="D117" t="s">
        <v>1220</v>
      </c>
      <c r="E117" t="s">
        <v>1351</v>
      </c>
      <c r="F117" t="s">
        <v>1906</v>
      </c>
      <c r="G117" t="s">
        <v>1908</v>
      </c>
      <c r="H117" t="s">
        <v>1912</v>
      </c>
      <c r="I117" s="4">
        <v>94</v>
      </c>
      <c r="J117" s="3">
        <v>138</v>
      </c>
      <c r="K117" s="3">
        <f>Table1[[#This Row],[Quantity Sold]]*Table1[[#This Row],[Unit Price (INR)]]</f>
        <v>12972</v>
      </c>
      <c r="L117" t="s">
        <v>1923</v>
      </c>
    </row>
    <row r="118" spans="1:12" x14ac:dyDescent="0.35">
      <c r="A118" t="s">
        <v>127</v>
      </c>
      <c r="B118" s="5">
        <v>45624</v>
      </c>
      <c r="C118" t="s">
        <v>1217</v>
      </c>
      <c r="D118" t="s">
        <v>1238</v>
      </c>
      <c r="E118" t="s">
        <v>1309</v>
      </c>
      <c r="F118" t="s">
        <v>1902</v>
      </c>
      <c r="G118" t="s">
        <v>1908</v>
      </c>
      <c r="H118" t="s">
        <v>1919</v>
      </c>
      <c r="I118" s="4">
        <v>414</v>
      </c>
      <c r="J118" s="3">
        <v>336</v>
      </c>
      <c r="K118" s="3">
        <f>Table1[[#This Row],[Quantity Sold]]*Table1[[#This Row],[Unit Price (INR)]]</f>
        <v>139104</v>
      </c>
      <c r="L118" t="s">
        <v>1922</v>
      </c>
    </row>
    <row r="119" spans="1:12" x14ac:dyDescent="0.35">
      <c r="A119" t="s">
        <v>128</v>
      </c>
      <c r="B119" s="5">
        <v>45625</v>
      </c>
      <c r="C119" t="s">
        <v>1213</v>
      </c>
      <c r="D119" t="s">
        <v>1223</v>
      </c>
      <c r="E119" t="s">
        <v>1352</v>
      </c>
      <c r="F119" t="s">
        <v>1897</v>
      </c>
      <c r="G119" t="s">
        <v>1908</v>
      </c>
      <c r="H119" t="s">
        <v>1916</v>
      </c>
      <c r="I119" s="4">
        <v>223</v>
      </c>
      <c r="J119" s="3">
        <v>483</v>
      </c>
      <c r="K119" s="3">
        <f>Table1[[#This Row],[Quantity Sold]]*Table1[[#This Row],[Unit Price (INR)]]</f>
        <v>107709</v>
      </c>
      <c r="L119" t="s">
        <v>1921</v>
      </c>
    </row>
    <row r="120" spans="1:12" x14ac:dyDescent="0.35">
      <c r="A120" t="s">
        <v>129</v>
      </c>
      <c r="B120" s="5">
        <v>45626</v>
      </c>
      <c r="C120" t="s">
        <v>1211</v>
      </c>
      <c r="D120" t="s">
        <v>1224</v>
      </c>
      <c r="E120" t="s">
        <v>1353</v>
      </c>
      <c r="F120" t="s">
        <v>1905</v>
      </c>
      <c r="G120" t="s">
        <v>1909</v>
      </c>
      <c r="H120" t="s">
        <v>1912</v>
      </c>
      <c r="I120" s="4">
        <v>182</v>
      </c>
      <c r="J120" s="3">
        <v>325</v>
      </c>
      <c r="K120" s="3">
        <f>Table1[[#This Row],[Quantity Sold]]*Table1[[#This Row],[Unit Price (INR)]]</f>
        <v>59150</v>
      </c>
      <c r="L120" t="s">
        <v>1922</v>
      </c>
    </row>
    <row r="121" spans="1:12" x14ac:dyDescent="0.35">
      <c r="A121" t="s">
        <v>130</v>
      </c>
      <c r="B121" s="5">
        <v>45627</v>
      </c>
      <c r="C121" t="s">
        <v>1213</v>
      </c>
      <c r="D121" t="s">
        <v>1234</v>
      </c>
      <c r="E121" t="s">
        <v>1354</v>
      </c>
      <c r="F121" t="s">
        <v>1905</v>
      </c>
      <c r="G121" t="s">
        <v>1909</v>
      </c>
      <c r="H121" t="s">
        <v>1917</v>
      </c>
      <c r="I121" s="4">
        <v>400</v>
      </c>
      <c r="J121" s="3">
        <v>285</v>
      </c>
      <c r="K121" s="3">
        <f>Table1[[#This Row],[Quantity Sold]]*Table1[[#This Row],[Unit Price (INR)]]</f>
        <v>114000</v>
      </c>
      <c r="L121" t="s">
        <v>1920</v>
      </c>
    </row>
    <row r="122" spans="1:12" x14ac:dyDescent="0.35">
      <c r="A122" t="s">
        <v>131</v>
      </c>
      <c r="B122" s="5">
        <v>45628</v>
      </c>
      <c r="C122" t="s">
        <v>1217</v>
      </c>
      <c r="D122" t="s">
        <v>1238</v>
      </c>
      <c r="E122" t="s">
        <v>1355</v>
      </c>
      <c r="F122" t="s">
        <v>1897</v>
      </c>
      <c r="G122" t="s">
        <v>1907</v>
      </c>
      <c r="H122" t="s">
        <v>1919</v>
      </c>
      <c r="I122" s="4">
        <v>218</v>
      </c>
      <c r="J122" s="3">
        <v>232</v>
      </c>
      <c r="K122" s="3">
        <f>Table1[[#This Row],[Quantity Sold]]*Table1[[#This Row],[Unit Price (INR)]]</f>
        <v>50576</v>
      </c>
      <c r="L122" t="s">
        <v>1922</v>
      </c>
    </row>
    <row r="123" spans="1:12" x14ac:dyDescent="0.35">
      <c r="A123" t="s">
        <v>132</v>
      </c>
      <c r="B123" s="5">
        <v>45629</v>
      </c>
      <c r="C123" t="s">
        <v>1217</v>
      </c>
      <c r="D123" t="s">
        <v>1245</v>
      </c>
      <c r="E123" t="s">
        <v>1356</v>
      </c>
      <c r="F123" t="s">
        <v>1904</v>
      </c>
      <c r="G123" t="s">
        <v>1908</v>
      </c>
      <c r="H123" t="s">
        <v>1918</v>
      </c>
      <c r="I123" s="4">
        <v>457</v>
      </c>
      <c r="J123" s="3">
        <v>258</v>
      </c>
      <c r="K123" s="3">
        <f>Table1[[#This Row],[Quantity Sold]]*Table1[[#This Row],[Unit Price (INR)]]</f>
        <v>117906</v>
      </c>
      <c r="L123" t="s">
        <v>1921</v>
      </c>
    </row>
    <row r="124" spans="1:12" x14ac:dyDescent="0.35">
      <c r="A124" t="s">
        <v>133</v>
      </c>
      <c r="B124" s="5">
        <v>45630</v>
      </c>
      <c r="C124" t="s">
        <v>1211</v>
      </c>
      <c r="D124" t="s">
        <v>1218</v>
      </c>
      <c r="E124" t="s">
        <v>1357</v>
      </c>
      <c r="F124" t="s">
        <v>1901</v>
      </c>
      <c r="G124" t="s">
        <v>1909</v>
      </c>
      <c r="H124" t="s">
        <v>1913</v>
      </c>
      <c r="I124" s="4">
        <v>391</v>
      </c>
      <c r="J124" s="3">
        <v>179</v>
      </c>
      <c r="K124" s="3">
        <f>Table1[[#This Row],[Quantity Sold]]*Table1[[#This Row],[Unit Price (INR)]]</f>
        <v>69989</v>
      </c>
      <c r="L124" t="s">
        <v>1923</v>
      </c>
    </row>
    <row r="125" spans="1:12" x14ac:dyDescent="0.35">
      <c r="A125" t="s">
        <v>134</v>
      </c>
      <c r="B125" s="5">
        <v>45631</v>
      </c>
      <c r="C125" t="s">
        <v>1217</v>
      </c>
      <c r="D125" t="s">
        <v>1246</v>
      </c>
      <c r="E125" t="s">
        <v>1358</v>
      </c>
      <c r="F125" t="s">
        <v>1899</v>
      </c>
      <c r="G125" t="s">
        <v>1910</v>
      </c>
      <c r="H125" t="s">
        <v>1913</v>
      </c>
      <c r="I125" s="4">
        <v>73</v>
      </c>
      <c r="J125" s="3">
        <v>202</v>
      </c>
      <c r="K125" s="3">
        <f>Table1[[#This Row],[Quantity Sold]]*Table1[[#This Row],[Unit Price (INR)]]</f>
        <v>14746</v>
      </c>
      <c r="L125" t="s">
        <v>1921</v>
      </c>
    </row>
    <row r="126" spans="1:12" x14ac:dyDescent="0.35">
      <c r="A126" t="s">
        <v>135</v>
      </c>
      <c r="B126" s="5">
        <v>45632</v>
      </c>
      <c r="C126" t="s">
        <v>1217</v>
      </c>
      <c r="D126" t="s">
        <v>1246</v>
      </c>
      <c r="E126" t="s">
        <v>1359</v>
      </c>
      <c r="F126" t="s">
        <v>1901</v>
      </c>
      <c r="G126" t="s">
        <v>1907</v>
      </c>
      <c r="H126" t="s">
        <v>1914</v>
      </c>
      <c r="I126" s="4">
        <v>267</v>
      </c>
      <c r="J126" s="3">
        <v>62</v>
      </c>
      <c r="K126" s="3">
        <f>Table1[[#This Row],[Quantity Sold]]*Table1[[#This Row],[Unit Price (INR)]]</f>
        <v>16554</v>
      </c>
      <c r="L126" t="s">
        <v>1923</v>
      </c>
    </row>
    <row r="127" spans="1:12" x14ac:dyDescent="0.35">
      <c r="A127" t="s">
        <v>136</v>
      </c>
      <c r="B127" s="5">
        <v>45633</v>
      </c>
      <c r="C127" t="s">
        <v>1212</v>
      </c>
      <c r="D127" t="s">
        <v>1233</v>
      </c>
      <c r="E127" t="s">
        <v>1360</v>
      </c>
      <c r="F127" t="s">
        <v>1897</v>
      </c>
      <c r="G127" t="s">
        <v>1911</v>
      </c>
      <c r="H127" t="s">
        <v>1918</v>
      </c>
      <c r="I127" s="4">
        <v>341</v>
      </c>
      <c r="J127" s="3">
        <v>171</v>
      </c>
      <c r="K127" s="3">
        <f>Table1[[#This Row],[Quantity Sold]]*Table1[[#This Row],[Unit Price (INR)]]</f>
        <v>58311</v>
      </c>
      <c r="L127" t="s">
        <v>1923</v>
      </c>
    </row>
    <row r="128" spans="1:12" x14ac:dyDescent="0.35">
      <c r="A128" t="s">
        <v>137</v>
      </c>
      <c r="B128" s="5">
        <v>45634</v>
      </c>
      <c r="C128" t="s">
        <v>1211</v>
      </c>
      <c r="D128" t="s">
        <v>1221</v>
      </c>
      <c r="E128" t="s">
        <v>1361</v>
      </c>
      <c r="F128" t="s">
        <v>1906</v>
      </c>
      <c r="G128" t="s">
        <v>1907</v>
      </c>
      <c r="H128" t="s">
        <v>1914</v>
      </c>
      <c r="I128" s="4">
        <v>130</v>
      </c>
      <c r="J128" s="3">
        <v>408</v>
      </c>
      <c r="K128" s="3">
        <f>Table1[[#This Row],[Quantity Sold]]*Table1[[#This Row],[Unit Price (INR)]]</f>
        <v>53040</v>
      </c>
      <c r="L128" t="s">
        <v>1922</v>
      </c>
    </row>
    <row r="129" spans="1:12" x14ac:dyDescent="0.35">
      <c r="A129" t="s">
        <v>138</v>
      </c>
      <c r="B129" s="5">
        <v>45635</v>
      </c>
      <c r="C129" t="s">
        <v>1214</v>
      </c>
      <c r="D129" t="s">
        <v>1228</v>
      </c>
      <c r="E129" t="s">
        <v>1362</v>
      </c>
      <c r="F129" t="s">
        <v>1899</v>
      </c>
      <c r="G129" t="s">
        <v>1911</v>
      </c>
      <c r="H129" t="s">
        <v>1919</v>
      </c>
      <c r="I129" s="4">
        <v>307</v>
      </c>
      <c r="J129" s="3">
        <v>269</v>
      </c>
      <c r="K129" s="3">
        <f>Table1[[#This Row],[Quantity Sold]]*Table1[[#This Row],[Unit Price (INR)]]</f>
        <v>82583</v>
      </c>
      <c r="L129" t="s">
        <v>1922</v>
      </c>
    </row>
    <row r="130" spans="1:12" x14ac:dyDescent="0.35">
      <c r="A130" t="s">
        <v>139</v>
      </c>
      <c r="B130" s="5">
        <v>45636</v>
      </c>
      <c r="C130" t="s">
        <v>1214</v>
      </c>
      <c r="D130" t="s">
        <v>1228</v>
      </c>
      <c r="E130" t="s">
        <v>1363</v>
      </c>
      <c r="F130" t="s">
        <v>1902</v>
      </c>
      <c r="G130" t="s">
        <v>1908</v>
      </c>
      <c r="H130" t="s">
        <v>1915</v>
      </c>
      <c r="I130" s="4">
        <v>475</v>
      </c>
      <c r="J130" s="3">
        <v>155</v>
      </c>
      <c r="K130" s="3">
        <f>Table1[[#This Row],[Quantity Sold]]*Table1[[#This Row],[Unit Price (INR)]]</f>
        <v>73625</v>
      </c>
      <c r="L130" t="s">
        <v>1922</v>
      </c>
    </row>
    <row r="131" spans="1:12" x14ac:dyDescent="0.35">
      <c r="A131" t="s">
        <v>140</v>
      </c>
      <c r="B131" s="5">
        <v>45637</v>
      </c>
      <c r="C131" t="s">
        <v>1217</v>
      </c>
      <c r="D131" t="s">
        <v>1246</v>
      </c>
      <c r="E131" t="s">
        <v>1364</v>
      </c>
      <c r="F131" t="s">
        <v>1901</v>
      </c>
      <c r="G131" t="s">
        <v>1911</v>
      </c>
      <c r="H131" t="s">
        <v>1912</v>
      </c>
      <c r="I131" s="4">
        <v>63</v>
      </c>
      <c r="J131" s="3">
        <v>424</v>
      </c>
      <c r="K131" s="3">
        <f>Table1[[#This Row],[Quantity Sold]]*Table1[[#This Row],[Unit Price (INR)]]</f>
        <v>26712</v>
      </c>
      <c r="L131" t="s">
        <v>1920</v>
      </c>
    </row>
    <row r="132" spans="1:12" x14ac:dyDescent="0.35">
      <c r="A132" t="s">
        <v>141</v>
      </c>
      <c r="B132" s="5">
        <v>45638</v>
      </c>
      <c r="C132" t="s">
        <v>1214</v>
      </c>
      <c r="D132" t="s">
        <v>1222</v>
      </c>
      <c r="E132" t="s">
        <v>1365</v>
      </c>
      <c r="F132" t="s">
        <v>1897</v>
      </c>
      <c r="G132" t="s">
        <v>1908</v>
      </c>
      <c r="H132" t="s">
        <v>1916</v>
      </c>
      <c r="I132" s="4">
        <v>340</v>
      </c>
      <c r="J132" s="3">
        <v>119</v>
      </c>
      <c r="K132" s="3">
        <f>Table1[[#This Row],[Quantity Sold]]*Table1[[#This Row],[Unit Price (INR)]]</f>
        <v>40460</v>
      </c>
      <c r="L132" t="s">
        <v>1922</v>
      </c>
    </row>
    <row r="133" spans="1:12" x14ac:dyDescent="0.35">
      <c r="A133" t="s">
        <v>142</v>
      </c>
      <c r="B133" s="5">
        <v>45639</v>
      </c>
      <c r="C133" t="s">
        <v>1214</v>
      </c>
      <c r="D133" t="s">
        <v>1227</v>
      </c>
      <c r="E133" t="s">
        <v>1366</v>
      </c>
      <c r="F133" t="s">
        <v>1901</v>
      </c>
      <c r="G133" t="s">
        <v>1910</v>
      </c>
      <c r="H133" t="s">
        <v>1918</v>
      </c>
      <c r="I133" s="4">
        <v>281</v>
      </c>
      <c r="J133" s="3">
        <v>244</v>
      </c>
      <c r="K133" s="3">
        <f>Table1[[#This Row],[Quantity Sold]]*Table1[[#This Row],[Unit Price (INR)]]</f>
        <v>68564</v>
      </c>
      <c r="L133" t="s">
        <v>1920</v>
      </c>
    </row>
    <row r="134" spans="1:12" x14ac:dyDescent="0.35">
      <c r="A134" t="s">
        <v>143</v>
      </c>
      <c r="B134" s="5">
        <v>45640</v>
      </c>
      <c r="C134" t="s">
        <v>1217</v>
      </c>
      <c r="D134" t="s">
        <v>1237</v>
      </c>
      <c r="E134" t="s">
        <v>1367</v>
      </c>
      <c r="F134" t="s">
        <v>1899</v>
      </c>
      <c r="G134" t="s">
        <v>1911</v>
      </c>
      <c r="H134" t="s">
        <v>1918</v>
      </c>
      <c r="I134" s="4">
        <v>250</v>
      </c>
      <c r="J134" s="3">
        <v>235</v>
      </c>
      <c r="K134" s="3">
        <f>Table1[[#This Row],[Quantity Sold]]*Table1[[#This Row],[Unit Price (INR)]]</f>
        <v>58750</v>
      </c>
      <c r="L134" t="s">
        <v>1922</v>
      </c>
    </row>
    <row r="135" spans="1:12" x14ac:dyDescent="0.35">
      <c r="A135" t="s">
        <v>144</v>
      </c>
      <c r="B135" s="5">
        <v>45641</v>
      </c>
      <c r="C135" t="s">
        <v>1214</v>
      </c>
      <c r="D135" t="s">
        <v>1222</v>
      </c>
      <c r="E135" t="s">
        <v>1368</v>
      </c>
      <c r="F135" t="s">
        <v>1903</v>
      </c>
      <c r="G135" t="s">
        <v>1907</v>
      </c>
      <c r="H135" t="s">
        <v>1918</v>
      </c>
      <c r="I135" s="4">
        <v>252</v>
      </c>
      <c r="J135" s="3">
        <v>148</v>
      </c>
      <c r="K135" s="3">
        <f>Table1[[#This Row],[Quantity Sold]]*Table1[[#This Row],[Unit Price (INR)]]</f>
        <v>37296</v>
      </c>
      <c r="L135" t="s">
        <v>1923</v>
      </c>
    </row>
    <row r="136" spans="1:12" x14ac:dyDescent="0.35">
      <c r="A136" t="s">
        <v>145</v>
      </c>
      <c r="B136" s="5">
        <v>45642</v>
      </c>
      <c r="C136" t="s">
        <v>1213</v>
      </c>
      <c r="D136" t="s">
        <v>1220</v>
      </c>
      <c r="E136" t="s">
        <v>1334</v>
      </c>
      <c r="F136" t="s">
        <v>1900</v>
      </c>
      <c r="G136" t="s">
        <v>1908</v>
      </c>
      <c r="H136" t="s">
        <v>1914</v>
      </c>
      <c r="I136" s="4">
        <v>27</v>
      </c>
      <c r="J136" s="3">
        <v>131</v>
      </c>
      <c r="K136" s="3">
        <f>Table1[[#This Row],[Quantity Sold]]*Table1[[#This Row],[Unit Price (INR)]]</f>
        <v>3537</v>
      </c>
      <c r="L136" t="s">
        <v>1920</v>
      </c>
    </row>
    <row r="137" spans="1:12" x14ac:dyDescent="0.35">
      <c r="A137" t="s">
        <v>146</v>
      </c>
      <c r="B137" s="5">
        <v>45643</v>
      </c>
      <c r="C137" t="s">
        <v>1215</v>
      </c>
      <c r="D137" t="s">
        <v>1242</v>
      </c>
      <c r="E137" t="s">
        <v>1369</v>
      </c>
      <c r="F137" t="s">
        <v>1901</v>
      </c>
      <c r="G137" t="s">
        <v>1907</v>
      </c>
      <c r="H137" t="s">
        <v>1919</v>
      </c>
      <c r="I137" s="4">
        <v>492</v>
      </c>
      <c r="J137" s="3">
        <v>124</v>
      </c>
      <c r="K137" s="3">
        <f>Table1[[#This Row],[Quantity Sold]]*Table1[[#This Row],[Unit Price (INR)]]</f>
        <v>61008</v>
      </c>
      <c r="L137" t="s">
        <v>1921</v>
      </c>
    </row>
    <row r="138" spans="1:12" x14ac:dyDescent="0.35">
      <c r="A138" t="s">
        <v>147</v>
      </c>
      <c r="B138" s="5">
        <v>45644</v>
      </c>
      <c r="C138" t="s">
        <v>1211</v>
      </c>
      <c r="D138" t="s">
        <v>1218</v>
      </c>
      <c r="E138" t="s">
        <v>1318</v>
      </c>
      <c r="F138" t="s">
        <v>1902</v>
      </c>
      <c r="G138" t="s">
        <v>1909</v>
      </c>
      <c r="H138" t="s">
        <v>1918</v>
      </c>
      <c r="I138" s="4">
        <v>196</v>
      </c>
      <c r="J138" s="3">
        <v>423</v>
      </c>
      <c r="K138" s="3">
        <f>Table1[[#This Row],[Quantity Sold]]*Table1[[#This Row],[Unit Price (INR)]]</f>
        <v>82908</v>
      </c>
      <c r="L138" t="s">
        <v>1920</v>
      </c>
    </row>
    <row r="139" spans="1:12" x14ac:dyDescent="0.35">
      <c r="A139" t="s">
        <v>148</v>
      </c>
      <c r="B139" s="5">
        <v>45645</v>
      </c>
      <c r="C139" t="s">
        <v>1215</v>
      </c>
      <c r="D139" t="s">
        <v>1243</v>
      </c>
      <c r="E139" t="s">
        <v>1370</v>
      </c>
      <c r="F139" t="s">
        <v>1902</v>
      </c>
      <c r="G139" t="s">
        <v>1908</v>
      </c>
      <c r="H139" t="s">
        <v>1915</v>
      </c>
      <c r="I139" s="4">
        <v>355</v>
      </c>
      <c r="J139" s="3">
        <v>389</v>
      </c>
      <c r="K139" s="3">
        <f>Table1[[#This Row],[Quantity Sold]]*Table1[[#This Row],[Unit Price (INR)]]</f>
        <v>138095</v>
      </c>
      <c r="L139" t="s">
        <v>1920</v>
      </c>
    </row>
    <row r="140" spans="1:12" x14ac:dyDescent="0.35">
      <c r="A140" t="s">
        <v>149</v>
      </c>
      <c r="B140" s="5">
        <v>45646</v>
      </c>
      <c r="C140" t="s">
        <v>1217</v>
      </c>
      <c r="D140" t="s">
        <v>1245</v>
      </c>
      <c r="E140" t="s">
        <v>1371</v>
      </c>
      <c r="F140" t="s">
        <v>1898</v>
      </c>
      <c r="G140" t="s">
        <v>1911</v>
      </c>
      <c r="H140" t="s">
        <v>1918</v>
      </c>
      <c r="I140" s="4">
        <v>153</v>
      </c>
      <c r="J140" s="3">
        <v>241</v>
      </c>
      <c r="K140" s="3">
        <f>Table1[[#This Row],[Quantity Sold]]*Table1[[#This Row],[Unit Price (INR)]]</f>
        <v>36873</v>
      </c>
      <c r="L140" t="s">
        <v>1921</v>
      </c>
    </row>
    <row r="141" spans="1:12" x14ac:dyDescent="0.35">
      <c r="A141" t="s">
        <v>150</v>
      </c>
      <c r="B141" s="5">
        <v>45647</v>
      </c>
      <c r="C141" t="s">
        <v>1212</v>
      </c>
      <c r="D141" t="s">
        <v>1219</v>
      </c>
      <c r="E141" t="s">
        <v>1372</v>
      </c>
      <c r="F141" t="s">
        <v>1901</v>
      </c>
      <c r="G141" t="s">
        <v>1908</v>
      </c>
      <c r="H141" t="s">
        <v>1913</v>
      </c>
      <c r="I141" s="4">
        <v>271</v>
      </c>
      <c r="J141" s="3">
        <v>374</v>
      </c>
      <c r="K141" s="3">
        <f>Table1[[#This Row],[Quantity Sold]]*Table1[[#This Row],[Unit Price (INR)]]</f>
        <v>101354</v>
      </c>
      <c r="L141" t="s">
        <v>1920</v>
      </c>
    </row>
    <row r="142" spans="1:12" x14ac:dyDescent="0.35">
      <c r="A142" t="s">
        <v>151</v>
      </c>
      <c r="B142" s="5">
        <v>45648</v>
      </c>
      <c r="C142" t="s">
        <v>1211</v>
      </c>
      <c r="D142" t="s">
        <v>1224</v>
      </c>
      <c r="E142" t="s">
        <v>1373</v>
      </c>
      <c r="F142" t="s">
        <v>1900</v>
      </c>
      <c r="G142" t="s">
        <v>1907</v>
      </c>
      <c r="H142" t="s">
        <v>1912</v>
      </c>
      <c r="I142" s="4">
        <v>450</v>
      </c>
      <c r="J142" s="3">
        <v>263</v>
      </c>
      <c r="K142" s="3">
        <f>Table1[[#This Row],[Quantity Sold]]*Table1[[#This Row],[Unit Price (INR)]]</f>
        <v>118350</v>
      </c>
      <c r="L142" t="s">
        <v>1923</v>
      </c>
    </row>
    <row r="143" spans="1:12" x14ac:dyDescent="0.35">
      <c r="A143" t="s">
        <v>152</v>
      </c>
      <c r="B143" s="5">
        <v>45649</v>
      </c>
      <c r="C143" t="s">
        <v>1217</v>
      </c>
      <c r="D143" t="s">
        <v>1238</v>
      </c>
      <c r="E143" t="s">
        <v>1374</v>
      </c>
      <c r="F143" t="s">
        <v>1904</v>
      </c>
      <c r="G143" t="s">
        <v>1910</v>
      </c>
      <c r="H143" t="s">
        <v>1916</v>
      </c>
      <c r="I143" s="4">
        <v>373</v>
      </c>
      <c r="J143" s="3">
        <v>364</v>
      </c>
      <c r="K143" s="3">
        <f>Table1[[#This Row],[Quantity Sold]]*Table1[[#This Row],[Unit Price (INR)]]</f>
        <v>135772</v>
      </c>
      <c r="L143" t="s">
        <v>1922</v>
      </c>
    </row>
    <row r="144" spans="1:12" x14ac:dyDescent="0.35">
      <c r="A144" t="s">
        <v>153</v>
      </c>
      <c r="B144" s="5">
        <v>45650</v>
      </c>
      <c r="C144" t="s">
        <v>1212</v>
      </c>
      <c r="D144" t="s">
        <v>1233</v>
      </c>
      <c r="E144" t="s">
        <v>1360</v>
      </c>
      <c r="F144" t="s">
        <v>1905</v>
      </c>
      <c r="G144" t="s">
        <v>1908</v>
      </c>
      <c r="H144" t="s">
        <v>1912</v>
      </c>
      <c r="I144" s="4">
        <v>440</v>
      </c>
      <c r="J144" s="3">
        <v>493</v>
      </c>
      <c r="K144" s="3">
        <f>Table1[[#This Row],[Quantity Sold]]*Table1[[#This Row],[Unit Price (INR)]]</f>
        <v>216920</v>
      </c>
      <c r="L144" t="s">
        <v>1921</v>
      </c>
    </row>
    <row r="145" spans="1:12" x14ac:dyDescent="0.35">
      <c r="A145" t="s">
        <v>154</v>
      </c>
      <c r="B145" s="5">
        <v>45651</v>
      </c>
      <c r="C145" t="s">
        <v>1215</v>
      </c>
      <c r="D145" t="s">
        <v>1225</v>
      </c>
      <c r="E145" t="s">
        <v>1375</v>
      </c>
      <c r="F145" t="s">
        <v>1900</v>
      </c>
      <c r="G145" t="s">
        <v>1911</v>
      </c>
      <c r="H145" t="s">
        <v>1913</v>
      </c>
      <c r="I145" s="4">
        <v>248</v>
      </c>
      <c r="J145" s="3">
        <v>431</v>
      </c>
      <c r="K145" s="3">
        <f>Table1[[#This Row],[Quantity Sold]]*Table1[[#This Row],[Unit Price (INR)]]</f>
        <v>106888</v>
      </c>
      <c r="L145" t="s">
        <v>1922</v>
      </c>
    </row>
    <row r="146" spans="1:12" x14ac:dyDescent="0.35">
      <c r="A146" t="s">
        <v>155</v>
      </c>
      <c r="B146" s="5">
        <v>45652</v>
      </c>
      <c r="C146" t="s">
        <v>1217</v>
      </c>
      <c r="D146" t="s">
        <v>1245</v>
      </c>
      <c r="E146" t="s">
        <v>1376</v>
      </c>
      <c r="F146" t="s">
        <v>1905</v>
      </c>
      <c r="G146" t="s">
        <v>1909</v>
      </c>
      <c r="H146" t="s">
        <v>1913</v>
      </c>
      <c r="I146" s="4">
        <v>313</v>
      </c>
      <c r="J146" s="3">
        <v>416</v>
      </c>
      <c r="K146" s="3">
        <f>Table1[[#This Row],[Quantity Sold]]*Table1[[#This Row],[Unit Price (INR)]]</f>
        <v>130208</v>
      </c>
      <c r="L146" t="s">
        <v>1923</v>
      </c>
    </row>
    <row r="147" spans="1:12" x14ac:dyDescent="0.35">
      <c r="A147" t="s">
        <v>156</v>
      </c>
      <c r="B147" s="5">
        <v>45653</v>
      </c>
      <c r="C147" t="s">
        <v>1211</v>
      </c>
      <c r="D147" t="s">
        <v>1221</v>
      </c>
      <c r="E147" t="s">
        <v>1377</v>
      </c>
      <c r="F147" t="s">
        <v>1905</v>
      </c>
      <c r="G147" t="s">
        <v>1910</v>
      </c>
      <c r="H147" t="s">
        <v>1916</v>
      </c>
      <c r="I147" s="4">
        <v>307</v>
      </c>
      <c r="J147" s="3">
        <v>367</v>
      </c>
      <c r="K147" s="3">
        <f>Table1[[#This Row],[Quantity Sold]]*Table1[[#This Row],[Unit Price (INR)]]</f>
        <v>112669</v>
      </c>
      <c r="L147" t="s">
        <v>1921</v>
      </c>
    </row>
    <row r="148" spans="1:12" x14ac:dyDescent="0.35">
      <c r="A148" t="s">
        <v>157</v>
      </c>
      <c r="B148" s="5">
        <v>45654</v>
      </c>
      <c r="C148" t="s">
        <v>1211</v>
      </c>
      <c r="D148" t="s">
        <v>1221</v>
      </c>
      <c r="E148" t="s">
        <v>1378</v>
      </c>
      <c r="F148" t="s">
        <v>1903</v>
      </c>
      <c r="G148" t="s">
        <v>1909</v>
      </c>
      <c r="H148" t="s">
        <v>1915</v>
      </c>
      <c r="I148" s="4">
        <v>85</v>
      </c>
      <c r="J148" s="3">
        <v>193</v>
      </c>
      <c r="K148" s="3">
        <f>Table1[[#This Row],[Quantity Sold]]*Table1[[#This Row],[Unit Price (INR)]]</f>
        <v>16405</v>
      </c>
      <c r="L148" t="s">
        <v>1922</v>
      </c>
    </row>
    <row r="149" spans="1:12" x14ac:dyDescent="0.35">
      <c r="A149" t="s">
        <v>158</v>
      </c>
      <c r="B149" s="5">
        <v>45655</v>
      </c>
      <c r="C149" t="s">
        <v>1216</v>
      </c>
      <c r="D149" t="s">
        <v>1232</v>
      </c>
      <c r="E149" t="s">
        <v>1379</v>
      </c>
      <c r="F149" t="s">
        <v>1898</v>
      </c>
      <c r="G149" t="s">
        <v>1908</v>
      </c>
      <c r="H149" t="s">
        <v>1919</v>
      </c>
      <c r="I149" s="4">
        <v>197</v>
      </c>
      <c r="J149" s="3">
        <v>433</v>
      </c>
      <c r="K149" s="3">
        <f>Table1[[#This Row],[Quantity Sold]]*Table1[[#This Row],[Unit Price (INR)]]</f>
        <v>85301</v>
      </c>
      <c r="L149" t="s">
        <v>1922</v>
      </c>
    </row>
    <row r="150" spans="1:12" x14ac:dyDescent="0.35">
      <c r="A150" t="s">
        <v>159</v>
      </c>
      <c r="B150" s="5">
        <v>45656</v>
      </c>
      <c r="C150" t="s">
        <v>1213</v>
      </c>
      <c r="D150" t="s">
        <v>1244</v>
      </c>
      <c r="E150" t="s">
        <v>1380</v>
      </c>
      <c r="F150" t="s">
        <v>1900</v>
      </c>
      <c r="G150" t="s">
        <v>1907</v>
      </c>
      <c r="H150" t="s">
        <v>1913</v>
      </c>
      <c r="I150" s="4">
        <v>342</v>
      </c>
      <c r="J150" s="3">
        <v>265</v>
      </c>
      <c r="K150" s="3">
        <f>Table1[[#This Row],[Quantity Sold]]*Table1[[#This Row],[Unit Price (INR)]]</f>
        <v>90630</v>
      </c>
      <c r="L150" t="s">
        <v>1923</v>
      </c>
    </row>
    <row r="151" spans="1:12" x14ac:dyDescent="0.35">
      <c r="A151" t="s">
        <v>160</v>
      </c>
      <c r="B151" s="5">
        <v>45657</v>
      </c>
      <c r="C151" t="s">
        <v>1214</v>
      </c>
      <c r="D151" t="s">
        <v>1227</v>
      </c>
      <c r="E151" t="s">
        <v>1381</v>
      </c>
      <c r="F151" t="s">
        <v>1900</v>
      </c>
      <c r="G151" t="s">
        <v>1907</v>
      </c>
      <c r="H151" t="s">
        <v>1919</v>
      </c>
      <c r="I151" s="4">
        <v>397</v>
      </c>
      <c r="J151" s="3">
        <v>410</v>
      </c>
      <c r="K151" s="3">
        <f>Table1[[#This Row],[Quantity Sold]]*Table1[[#This Row],[Unit Price (INR)]]</f>
        <v>162770</v>
      </c>
      <c r="L151" t="s">
        <v>1922</v>
      </c>
    </row>
    <row r="152" spans="1:12" x14ac:dyDescent="0.35">
      <c r="A152" t="s">
        <v>161</v>
      </c>
      <c r="B152" s="5">
        <v>45658</v>
      </c>
      <c r="C152" t="s">
        <v>1212</v>
      </c>
      <c r="D152" t="s">
        <v>1233</v>
      </c>
      <c r="E152" t="s">
        <v>1382</v>
      </c>
      <c r="F152" t="s">
        <v>1903</v>
      </c>
      <c r="G152" t="s">
        <v>1911</v>
      </c>
      <c r="H152" t="s">
        <v>1913</v>
      </c>
      <c r="I152" s="4">
        <v>496</v>
      </c>
      <c r="J152" s="3">
        <v>373</v>
      </c>
      <c r="K152" s="3">
        <f>Table1[[#This Row],[Quantity Sold]]*Table1[[#This Row],[Unit Price (INR)]]</f>
        <v>185008</v>
      </c>
      <c r="L152" t="s">
        <v>1923</v>
      </c>
    </row>
    <row r="153" spans="1:12" x14ac:dyDescent="0.35">
      <c r="A153" t="s">
        <v>162</v>
      </c>
      <c r="B153" s="5">
        <v>45659</v>
      </c>
      <c r="C153" t="s">
        <v>1216</v>
      </c>
      <c r="D153" t="s">
        <v>1241</v>
      </c>
      <c r="E153" t="s">
        <v>1383</v>
      </c>
      <c r="F153" t="s">
        <v>1901</v>
      </c>
      <c r="G153" t="s">
        <v>1907</v>
      </c>
      <c r="H153" t="s">
        <v>1917</v>
      </c>
      <c r="I153" s="4">
        <v>255</v>
      </c>
      <c r="J153" s="3">
        <v>64</v>
      </c>
      <c r="K153" s="3">
        <f>Table1[[#This Row],[Quantity Sold]]*Table1[[#This Row],[Unit Price (INR)]]</f>
        <v>16320</v>
      </c>
      <c r="L153" t="s">
        <v>1920</v>
      </c>
    </row>
    <row r="154" spans="1:12" x14ac:dyDescent="0.35">
      <c r="A154" t="s">
        <v>163</v>
      </c>
      <c r="B154" s="5">
        <v>45660</v>
      </c>
      <c r="C154" t="s">
        <v>1214</v>
      </c>
      <c r="D154" t="s">
        <v>1228</v>
      </c>
      <c r="E154" t="s">
        <v>1384</v>
      </c>
      <c r="F154" t="s">
        <v>1901</v>
      </c>
      <c r="G154" t="s">
        <v>1910</v>
      </c>
      <c r="H154" t="s">
        <v>1916</v>
      </c>
      <c r="I154" s="4">
        <v>139</v>
      </c>
      <c r="J154" s="3">
        <v>266</v>
      </c>
      <c r="K154" s="3">
        <f>Table1[[#This Row],[Quantity Sold]]*Table1[[#This Row],[Unit Price (INR)]]</f>
        <v>36974</v>
      </c>
      <c r="L154" t="s">
        <v>1923</v>
      </c>
    </row>
    <row r="155" spans="1:12" x14ac:dyDescent="0.35">
      <c r="A155" t="s">
        <v>164</v>
      </c>
      <c r="B155" s="5">
        <v>45661</v>
      </c>
      <c r="C155" t="s">
        <v>1214</v>
      </c>
      <c r="D155" t="s">
        <v>1228</v>
      </c>
      <c r="E155" t="s">
        <v>1385</v>
      </c>
      <c r="F155" t="s">
        <v>1901</v>
      </c>
      <c r="G155" t="s">
        <v>1907</v>
      </c>
      <c r="H155" t="s">
        <v>1913</v>
      </c>
      <c r="I155" s="4">
        <v>483</v>
      </c>
      <c r="J155" s="3">
        <v>488</v>
      </c>
      <c r="K155" s="3">
        <f>Table1[[#This Row],[Quantity Sold]]*Table1[[#This Row],[Unit Price (INR)]]</f>
        <v>235704</v>
      </c>
      <c r="L155" t="s">
        <v>1920</v>
      </c>
    </row>
    <row r="156" spans="1:12" x14ac:dyDescent="0.35">
      <c r="A156" t="s">
        <v>165</v>
      </c>
      <c r="B156" s="5">
        <v>45662</v>
      </c>
      <c r="C156" t="s">
        <v>1217</v>
      </c>
      <c r="D156" t="s">
        <v>1235</v>
      </c>
      <c r="E156" t="s">
        <v>1386</v>
      </c>
      <c r="F156" t="s">
        <v>1906</v>
      </c>
      <c r="G156" t="s">
        <v>1911</v>
      </c>
      <c r="H156" t="s">
        <v>1917</v>
      </c>
      <c r="I156" s="4">
        <v>324</v>
      </c>
      <c r="J156" s="3">
        <v>84</v>
      </c>
      <c r="K156" s="3">
        <f>Table1[[#This Row],[Quantity Sold]]*Table1[[#This Row],[Unit Price (INR)]]</f>
        <v>27216</v>
      </c>
      <c r="L156" t="s">
        <v>1921</v>
      </c>
    </row>
    <row r="157" spans="1:12" x14ac:dyDescent="0.35">
      <c r="A157" t="s">
        <v>166</v>
      </c>
      <c r="B157" s="5">
        <v>45663</v>
      </c>
      <c r="C157" t="s">
        <v>1214</v>
      </c>
      <c r="D157" t="s">
        <v>1228</v>
      </c>
      <c r="E157" t="s">
        <v>1387</v>
      </c>
      <c r="F157" t="s">
        <v>1905</v>
      </c>
      <c r="G157" t="s">
        <v>1908</v>
      </c>
      <c r="H157" t="s">
        <v>1912</v>
      </c>
      <c r="I157" s="4">
        <v>420</v>
      </c>
      <c r="J157" s="3">
        <v>232</v>
      </c>
      <c r="K157" s="3">
        <f>Table1[[#This Row],[Quantity Sold]]*Table1[[#This Row],[Unit Price (INR)]]</f>
        <v>97440</v>
      </c>
      <c r="L157" t="s">
        <v>1922</v>
      </c>
    </row>
    <row r="158" spans="1:12" x14ac:dyDescent="0.35">
      <c r="A158" t="s">
        <v>167</v>
      </c>
      <c r="B158" s="5">
        <v>45664</v>
      </c>
      <c r="C158" t="s">
        <v>1213</v>
      </c>
      <c r="D158" t="s">
        <v>1244</v>
      </c>
      <c r="E158" t="s">
        <v>1388</v>
      </c>
      <c r="F158" t="s">
        <v>1906</v>
      </c>
      <c r="G158" t="s">
        <v>1908</v>
      </c>
      <c r="H158" t="s">
        <v>1914</v>
      </c>
      <c r="I158" s="4">
        <v>292</v>
      </c>
      <c r="J158" s="3">
        <v>319</v>
      </c>
      <c r="K158" s="3">
        <f>Table1[[#This Row],[Quantity Sold]]*Table1[[#This Row],[Unit Price (INR)]]</f>
        <v>93148</v>
      </c>
      <c r="L158" t="s">
        <v>1923</v>
      </c>
    </row>
    <row r="159" spans="1:12" x14ac:dyDescent="0.35">
      <c r="A159" t="s">
        <v>168</v>
      </c>
      <c r="B159" s="5">
        <v>45665</v>
      </c>
      <c r="C159" t="s">
        <v>1211</v>
      </c>
      <c r="D159" t="s">
        <v>1218</v>
      </c>
      <c r="E159" t="s">
        <v>1389</v>
      </c>
      <c r="F159" t="s">
        <v>1898</v>
      </c>
      <c r="G159" t="s">
        <v>1907</v>
      </c>
      <c r="H159" t="s">
        <v>1917</v>
      </c>
      <c r="I159" s="4">
        <v>88</v>
      </c>
      <c r="J159" s="3">
        <v>482</v>
      </c>
      <c r="K159" s="3">
        <f>Table1[[#This Row],[Quantity Sold]]*Table1[[#This Row],[Unit Price (INR)]]</f>
        <v>42416</v>
      </c>
      <c r="L159" t="s">
        <v>1923</v>
      </c>
    </row>
    <row r="160" spans="1:12" x14ac:dyDescent="0.35">
      <c r="A160" t="s">
        <v>169</v>
      </c>
      <c r="B160" s="5">
        <v>45666</v>
      </c>
      <c r="C160" t="s">
        <v>1216</v>
      </c>
      <c r="D160" t="s">
        <v>1232</v>
      </c>
      <c r="E160" t="s">
        <v>1390</v>
      </c>
      <c r="F160" t="s">
        <v>1903</v>
      </c>
      <c r="G160" t="s">
        <v>1909</v>
      </c>
      <c r="H160" t="s">
        <v>1918</v>
      </c>
      <c r="I160" s="4">
        <v>81</v>
      </c>
      <c r="J160" s="3">
        <v>407</v>
      </c>
      <c r="K160" s="3">
        <f>Table1[[#This Row],[Quantity Sold]]*Table1[[#This Row],[Unit Price (INR)]]</f>
        <v>32967</v>
      </c>
      <c r="L160" t="s">
        <v>1922</v>
      </c>
    </row>
    <row r="161" spans="1:12" x14ac:dyDescent="0.35">
      <c r="A161" t="s">
        <v>170</v>
      </c>
      <c r="B161" s="5">
        <v>45667</v>
      </c>
      <c r="C161" t="s">
        <v>1214</v>
      </c>
      <c r="D161" t="s">
        <v>1228</v>
      </c>
      <c r="E161" t="s">
        <v>1391</v>
      </c>
      <c r="F161" t="s">
        <v>1900</v>
      </c>
      <c r="G161" t="s">
        <v>1908</v>
      </c>
      <c r="H161" t="s">
        <v>1913</v>
      </c>
      <c r="I161" s="4">
        <v>272</v>
      </c>
      <c r="J161" s="3">
        <v>149</v>
      </c>
      <c r="K161" s="3">
        <f>Table1[[#This Row],[Quantity Sold]]*Table1[[#This Row],[Unit Price (INR)]]</f>
        <v>40528</v>
      </c>
      <c r="L161" t="s">
        <v>1922</v>
      </c>
    </row>
    <row r="162" spans="1:12" x14ac:dyDescent="0.35">
      <c r="A162" t="s">
        <v>171</v>
      </c>
      <c r="B162" s="5">
        <v>45668</v>
      </c>
      <c r="C162" t="s">
        <v>1217</v>
      </c>
      <c r="D162" t="s">
        <v>1245</v>
      </c>
      <c r="E162" t="s">
        <v>1261</v>
      </c>
      <c r="F162" t="s">
        <v>1905</v>
      </c>
      <c r="G162" t="s">
        <v>1907</v>
      </c>
      <c r="H162" t="s">
        <v>1917</v>
      </c>
      <c r="I162" s="4">
        <v>200</v>
      </c>
      <c r="J162" s="3">
        <v>56</v>
      </c>
      <c r="K162" s="3">
        <f>Table1[[#This Row],[Quantity Sold]]*Table1[[#This Row],[Unit Price (INR)]]</f>
        <v>11200</v>
      </c>
      <c r="L162" t="s">
        <v>1921</v>
      </c>
    </row>
    <row r="163" spans="1:12" x14ac:dyDescent="0.35">
      <c r="A163" t="s">
        <v>172</v>
      </c>
      <c r="B163" s="5">
        <v>45669</v>
      </c>
      <c r="C163" t="s">
        <v>1213</v>
      </c>
      <c r="D163" t="s">
        <v>1244</v>
      </c>
      <c r="E163" t="s">
        <v>1392</v>
      </c>
      <c r="F163" t="s">
        <v>1906</v>
      </c>
      <c r="G163" t="s">
        <v>1911</v>
      </c>
      <c r="H163" t="s">
        <v>1919</v>
      </c>
      <c r="I163" s="4">
        <v>376</v>
      </c>
      <c r="J163" s="3">
        <v>79</v>
      </c>
      <c r="K163" s="3">
        <f>Table1[[#This Row],[Quantity Sold]]*Table1[[#This Row],[Unit Price (INR)]]</f>
        <v>29704</v>
      </c>
      <c r="L163" t="s">
        <v>1921</v>
      </c>
    </row>
    <row r="164" spans="1:12" x14ac:dyDescent="0.35">
      <c r="A164" t="s">
        <v>173</v>
      </c>
      <c r="B164" s="5">
        <v>45670</v>
      </c>
      <c r="C164" t="s">
        <v>1215</v>
      </c>
      <c r="D164" t="s">
        <v>1242</v>
      </c>
      <c r="E164" t="s">
        <v>1393</v>
      </c>
      <c r="F164" t="s">
        <v>1906</v>
      </c>
      <c r="G164" t="s">
        <v>1907</v>
      </c>
      <c r="H164" t="s">
        <v>1914</v>
      </c>
      <c r="I164" s="4">
        <v>384</v>
      </c>
      <c r="J164" s="3">
        <v>354</v>
      </c>
      <c r="K164" s="3">
        <f>Table1[[#This Row],[Quantity Sold]]*Table1[[#This Row],[Unit Price (INR)]]</f>
        <v>135936</v>
      </c>
      <c r="L164" t="s">
        <v>1923</v>
      </c>
    </row>
    <row r="165" spans="1:12" x14ac:dyDescent="0.35">
      <c r="A165" t="s">
        <v>174</v>
      </c>
      <c r="B165" s="5">
        <v>45671</v>
      </c>
      <c r="C165" t="s">
        <v>1211</v>
      </c>
      <c r="D165" t="s">
        <v>1218</v>
      </c>
      <c r="E165" t="s">
        <v>1394</v>
      </c>
      <c r="F165" t="s">
        <v>1897</v>
      </c>
      <c r="G165" t="s">
        <v>1908</v>
      </c>
      <c r="H165" t="s">
        <v>1915</v>
      </c>
      <c r="I165" s="4">
        <v>439</v>
      </c>
      <c r="J165" s="3">
        <v>193</v>
      </c>
      <c r="K165" s="3">
        <f>Table1[[#This Row],[Quantity Sold]]*Table1[[#This Row],[Unit Price (INR)]]</f>
        <v>84727</v>
      </c>
      <c r="L165" t="s">
        <v>1921</v>
      </c>
    </row>
    <row r="166" spans="1:12" x14ac:dyDescent="0.35">
      <c r="A166" t="s">
        <v>175</v>
      </c>
      <c r="B166" s="5">
        <v>45672</v>
      </c>
      <c r="C166" t="s">
        <v>1211</v>
      </c>
      <c r="D166" t="s">
        <v>1218</v>
      </c>
      <c r="E166" t="s">
        <v>1395</v>
      </c>
      <c r="F166" t="s">
        <v>1906</v>
      </c>
      <c r="G166" t="s">
        <v>1911</v>
      </c>
      <c r="H166" t="s">
        <v>1913</v>
      </c>
      <c r="I166" s="4">
        <v>72</v>
      </c>
      <c r="J166" s="3">
        <v>160</v>
      </c>
      <c r="K166" s="3">
        <f>Table1[[#This Row],[Quantity Sold]]*Table1[[#This Row],[Unit Price (INR)]]</f>
        <v>11520</v>
      </c>
      <c r="L166" t="s">
        <v>1920</v>
      </c>
    </row>
    <row r="167" spans="1:12" x14ac:dyDescent="0.35">
      <c r="A167" t="s">
        <v>176</v>
      </c>
      <c r="B167" s="5">
        <v>45673</v>
      </c>
      <c r="C167" t="s">
        <v>1216</v>
      </c>
      <c r="D167" t="s">
        <v>1230</v>
      </c>
      <c r="E167" t="s">
        <v>1392</v>
      </c>
      <c r="F167" t="s">
        <v>1904</v>
      </c>
      <c r="G167" t="s">
        <v>1907</v>
      </c>
      <c r="H167" t="s">
        <v>1918</v>
      </c>
      <c r="I167" s="4">
        <v>497</v>
      </c>
      <c r="J167" s="3">
        <v>281</v>
      </c>
      <c r="K167" s="3">
        <f>Table1[[#This Row],[Quantity Sold]]*Table1[[#This Row],[Unit Price (INR)]]</f>
        <v>139657</v>
      </c>
      <c r="L167" t="s">
        <v>1921</v>
      </c>
    </row>
    <row r="168" spans="1:12" x14ac:dyDescent="0.35">
      <c r="A168" t="s">
        <v>177</v>
      </c>
      <c r="B168" s="5">
        <v>45674</v>
      </c>
      <c r="C168" t="s">
        <v>1211</v>
      </c>
      <c r="D168" t="s">
        <v>1218</v>
      </c>
      <c r="E168" t="s">
        <v>1396</v>
      </c>
      <c r="F168" t="s">
        <v>1900</v>
      </c>
      <c r="G168" t="s">
        <v>1910</v>
      </c>
      <c r="H168" t="s">
        <v>1915</v>
      </c>
      <c r="I168" s="4">
        <v>389</v>
      </c>
      <c r="J168" s="3">
        <v>228</v>
      </c>
      <c r="K168" s="3">
        <f>Table1[[#This Row],[Quantity Sold]]*Table1[[#This Row],[Unit Price (INR)]]</f>
        <v>88692</v>
      </c>
      <c r="L168" t="s">
        <v>1921</v>
      </c>
    </row>
    <row r="169" spans="1:12" x14ac:dyDescent="0.35">
      <c r="A169" t="s">
        <v>178</v>
      </c>
      <c r="B169" s="5">
        <v>45675</v>
      </c>
      <c r="C169" t="s">
        <v>1214</v>
      </c>
      <c r="D169" t="s">
        <v>1222</v>
      </c>
      <c r="E169" t="s">
        <v>1397</v>
      </c>
      <c r="F169" t="s">
        <v>1904</v>
      </c>
      <c r="G169" t="s">
        <v>1911</v>
      </c>
      <c r="H169" t="s">
        <v>1917</v>
      </c>
      <c r="I169" s="4">
        <v>21</v>
      </c>
      <c r="J169" s="3">
        <v>121</v>
      </c>
      <c r="K169" s="3">
        <f>Table1[[#This Row],[Quantity Sold]]*Table1[[#This Row],[Unit Price (INR)]]</f>
        <v>2541</v>
      </c>
      <c r="L169" t="s">
        <v>1923</v>
      </c>
    </row>
    <row r="170" spans="1:12" x14ac:dyDescent="0.35">
      <c r="A170" t="s">
        <v>179</v>
      </c>
      <c r="B170" s="5">
        <v>45676</v>
      </c>
      <c r="C170" t="s">
        <v>1217</v>
      </c>
      <c r="D170" t="s">
        <v>1237</v>
      </c>
      <c r="E170" t="s">
        <v>1398</v>
      </c>
      <c r="F170" t="s">
        <v>1900</v>
      </c>
      <c r="G170" t="s">
        <v>1910</v>
      </c>
      <c r="H170" t="s">
        <v>1915</v>
      </c>
      <c r="I170" s="4">
        <v>150</v>
      </c>
      <c r="J170" s="3">
        <v>259</v>
      </c>
      <c r="K170" s="3">
        <f>Table1[[#This Row],[Quantity Sold]]*Table1[[#This Row],[Unit Price (INR)]]</f>
        <v>38850</v>
      </c>
      <c r="L170" t="s">
        <v>1920</v>
      </c>
    </row>
    <row r="171" spans="1:12" x14ac:dyDescent="0.35">
      <c r="A171" t="s">
        <v>180</v>
      </c>
      <c r="B171" s="5">
        <v>45677</v>
      </c>
      <c r="C171" t="s">
        <v>1211</v>
      </c>
      <c r="D171" t="s">
        <v>1218</v>
      </c>
      <c r="E171" t="s">
        <v>1268</v>
      </c>
      <c r="F171" t="s">
        <v>1903</v>
      </c>
      <c r="G171" t="s">
        <v>1909</v>
      </c>
      <c r="H171" t="s">
        <v>1915</v>
      </c>
      <c r="I171" s="4">
        <v>263</v>
      </c>
      <c r="J171" s="3">
        <v>269</v>
      </c>
      <c r="K171" s="3">
        <f>Table1[[#This Row],[Quantity Sold]]*Table1[[#This Row],[Unit Price (INR)]]</f>
        <v>70747</v>
      </c>
      <c r="L171" t="s">
        <v>1921</v>
      </c>
    </row>
    <row r="172" spans="1:12" x14ac:dyDescent="0.35">
      <c r="A172" t="s">
        <v>181</v>
      </c>
      <c r="B172" s="5">
        <v>45678</v>
      </c>
      <c r="C172" t="s">
        <v>1211</v>
      </c>
      <c r="D172" t="s">
        <v>1224</v>
      </c>
      <c r="E172" t="s">
        <v>1399</v>
      </c>
      <c r="F172" t="s">
        <v>1900</v>
      </c>
      <c r="G172" t="s">
        <v>1911</v>
      </c>
      <c r="H172" t="s">
        <v>1914</v>
      </c>
      <c r="I172" s="4">
        <v>52</v>
      </c>
      <c r="J172" s="3">
        <v>129</v>
      </c>
      <c r="K172" s="3">
        <f>Table1[[#This Row],[Quantity Sold]]*Table1[[#This Row],[Unit Price (INR)]]</f>
        <v>6708</v>
      </c>
      <c r="L172" t="s">
        <v>1920</v>
      </c>
    </row>
    <row r="173" spans="1:12" x14ac:dyDescent="0.35">
      <c r="A173" t="s">
        <v>182</v>
      </c>
      <c r="B173" s="5">
        <v>45679</v>
      </c>
      <c r="C173" t="s">
        <v>1215</v>
      </c>
      <c r="D173" t="s">
        <v>1225</v>
      </c>
      <c r="E173" t="s">
        <v>1400</v>
      </c>
      <c r="F173" t="s">
        <v>1904</v>
      </c>
      <c r="G173" t="s">
        <v>1910</v>
      </c>
      <c r="H173" t="s">
        <v>1912</v>
      </c>
      <c r="I173" s="4">
        <v>26</v>
      </c>
      <c r="J173" s="3">
        <v>132</v>
      </c>
      <c r="K173" s="3">
        <f>Table1[[#This Row],[Quantity Sold]]*Table1[[#This Row],[Unit Price (INR)]]</f>
        <v>3432</v>
      </c>
      <c r="L173" t="s">
        <v>1920</v>
      </c>
    </row>
    <row r="174" spans="1:12" x14ac:dyDescent="0.35">
      <c r="A174" t="s">
        <v>183</v>
      </c>
      <c r="B174" s="5">
        <v>45680</v>
      </c>
      <c r="C174" t="s">
        <v>1215</v>
      </c>
      <c r="D174" t="s">
        <v>1236</v>
      </c>
      <c r="E174" t="s">
        <v>1401</v>
      </c>
      <c r="F174" t="s">
        <v>1900</v>
      </c>
      <c r="G174" t="s">
        <v>1908</v>
      </c>
      <c r="H174" t="s">
        <v>1915</v>
      </c>
      <c r="I174" s="4">
        <v>72</v>
      </c>
      <c r="J174" s="3">
        <v>91</v>
      </c>
      <c r="K174" s="3">
        <f>Table1[[#This Row],[Quantity Sold]]*Table1[[#This Row],[Unit Price (INR)]]</f>
        <v>6552</v>
      </c>
      <c r="L174" t="s">
        <v>1920</v>
      </c>
    </row>
    <row r="175" spans="1:12" x14ac:dyDescent="0.35">
      <c r="A175" t="s">
        <v>184</v>
      </c>
      <c r="B175" s="5">
        <v>45681</v>
      </c>
      <c r="C175" t="s">
        <v>1212</v>
      </c>
      <c r="D175" t="s">
        <v>1233</v>
      </c>
      <c r="E175" t="s">
        <v>1402</v>
      </c>
      <c r="F175" t="s">
        <v>1903</v>
      </c>
      <c r="G175" t="s">
        <v>1908</v>
      </c>
      <c r="H175" t="s">
        <v>1915</v>
      </c>
      <c r="I175" s="4">
        <v>262</v>
      </c>
      <c r="J175" s="3">
        <v>322</v>
      </c>
      <c r="K175" s="3">
        <f>Table1[[#This Row],[Quantity Sold]]*Table1[[#This Row],[Unit Price (INR)]]</f>
        <v>84364</v>
      </c>
      <c r="L175" t="s">
        <v>1922</v>
      </c>
    </row>
    <row r="176" spans="1:12" x14ac:dyDescent="0.35">
      <c r="A176" t="s">
        <v>185</v>
      </c>
      <c r="B176" s="5">
        <v>45682</v>
      </c>
      <c r="C176" t="s">
        <v>1213</v>
      </c>
      <c r="D176" t="s">
        <v>1244</v>
      </c>
      <c r="E176" t="s">
        <v>1403</v>
      </c>
      <c r="F176" t="s">
        <v>1903</v>
      </c>
      <c r="G176" t="s">
        <v>1909</v>
      </c>
      <c r="H176" t="s">
        <v>1913</v>
      </c>
      <c r="I176" s="4">
        <v>474</v>
      </c>
      <c r="J176" s="3">
        <v>240</v>
      </c>
      <c r="K176" s="3">
        <f>Table1[[#This Row],[Quantity Sold]]*Table1[[#This Row],[Unit Price (INR)]]</f>
        <v>113760</v>
      </c>
      <c r="L176" t="s">
        <v>1922</v>
      </c>
    </row>
    <row r="177" spans="1:12" x14ac:dyDescent="0.35">
      <c r="A177" t="s">
        <v>186</v>
      </c>
      <c r="B177" s="5">
        <v>45683</v>
      </c>
      <c r="C177" t="s">
        <v>1214</v>
      </c>
      <c r="D177" t="s">
        <v>1222</v>
      </c>
      <c r="E177" t="s">
        <v>1404</v>
      </c>
      <c r="F177" t="s">
        <v>1898</v>
      </c>
      <c r="G177" t="s">
        <v>1911</v>
      </c>
      <c r="H177" t="s">
        <v>1912</v>
      </c>
      <c r="I177" s="4">
        <v>385</v>
      </c>
      <c r="J177" s="3">
        <v>222</v>
      </c>
      <c r="K177" s="3">
        <f>Table1[[#This Row],[Quantity Sold]]*Table1[[#This Row],[Unit Price (INR)]]</f>
        <v>85470</v>
      </c>
      <c r="L177" t="s">
        <v>1922</v>
      </c>
    </row>
    <row r="178" spans="1:12" x14ac:dyDescent="0.35">
      <c r="A178" t="s">
        <v>187</v>
      </c>
      <c r="B178" s="5">
        <v>45684</v>
      </c>
      <c r="C178" t="s">
        <v>1211</v>
      </c>
      <c r="D178" t="s">
        <v>1218</v>
      </c>
      <c r="E178" t="s">
        <v>1405</v>
      </c>
      <c r="F178" t="s">
        <v>1900</v>
      </c>
      <c r="G178" t="s">
        <v>1911</v>
      </c>
      <c r="H178" t="s">
        <v>1914</v>
      </c>
      <c r="I178" s="4">
        <v>301</v>
      </c>
      <c r="J178" s="3">
        <v>56</v>
      </c>
      <c r="K178" s="3">
        <f>Table1[[#This Row],[Quantity Sold]]*Table1[[#This Row],[Unit Price (INR)]]</f>
        <v>16856</v>
      </c>
      <c r="L178" t="s">
        <v>1922</v>
      </c>
    </row>
    <row r="179" spans="1:12" x14ac:dyDescent="0.35">
      <c r="A179" t="s">
        <v>188</v>
      </c>
      <c r="B179" s="5">
        <v>45685</v>
      </c>
      <c r="C179" t="s">
        <v>1211</v>
      </c>
      <c r="D179" t="s">
        <v>1221</v>
      </c>
      <c r="E179" t="s">
        <v>1406</v>
      </c>
      <c r="F179" t="s">
        <v>1897</v>
      </c>
      <c r="G179" t="s">
        <v>1911</v>
      </c>
      <c r="H179" t="s">
        <v>1918</v>
      </c>
      <c r="I179" s="4">
        <v>478</v>
      </c>
      <c r="J179" s="3">
        <v>204</v>
      </c>
      <c r="K179" s="3">
        <f>Table1[[#This Row],[Quantity Sold]]*Table1[[#This Row],[Unit Price (INR)]]</f>
        <v>97512</v>
      </c>
      <c r="L179" t="s">
        <v>1923</v>
      </c>
    </row>
    <row r="180" spans="1:12" x14ac:dyDescent="0.35">
      <c r="A180" t="s">
        <v>189</v>
      </c>
      <c r="B180" s="5">
        <v>45686</v>
      </c>
      <c r="C180" t="s">
        <v>1217</v>
      </c>
      <c r="D180" t="s">
        <v>1246</v>
      </c>
      <c r="E180" t="s">
        <v>1407</v>
      </c>
      <c r="F180" t="s">
        <v>1901</v>
      </c>
      <c r="G180" t="s">
        <v>1909</v>
      </c>
      <c r="H180" t="s">
        <v>1917</v>
      </c>
      <c r="I180" s="4">
        <v>17</v>
      </c>
      <c r="J180" s="3">
        <v>59</v>
      </c>
      <c r="K180" s="3">
        <f>Table1[[#This Row],[Quantity Sold]]*Table1[[#This Row],[Unit Price (INR)]]</f>
        <v>1003</v>
      </c>
      <c r="L180" t="s">
        <v>1921</v>
      </c>
    </row>
    <row r="181" spans="1:12" x14ac:dyDescent="0.35">
      <c r="A181" t="s">
        <v>190</v>
      </c>
      <c r="B181" s="5">
        <v>45687</v>
      </c>
      <c r="C181" t="s">
        <v>1212</v>
      </c>
      <c r="D181" t="s">
        <v>1219</v>
      </c>
      <c r="E181" t="s">
        <v>1302</v>
      </c>
      <c r="F181" t="s">
        <v>1902</v>
      </c>
      <c r="G181" t="s">
        <v>1911</v>
      </c>
      <c r="H181" t="s">
        <v>1914</v>
      </c>
      <c r="I181" s="4">
        <v>334</v>
      </c>
      <c r="J181" s="3">
        <v>83</v>
      </c>
      <c r="K181" s="3">
        <f>Table1[[#This Row],[Quantity Sold]]*Table1[[#This Row],[Unit Price (INR)]]</f>
        <v>27722</v>
      </c>
      <c r="L181" t="s">
        <v>1922</v>
      </c>
    </row>
    <row r="182" spans="1:12" x14ac:dyDescent="0.35">
      <c r="A182" t="s">
        <v>191</v>
      </c>
      <c r="B182" s="5">
        <v>45688</v>
      </c>
      <c r="C182" t="s">
        <v>1213</v>
      </c>
      <c r="D182" t="s">
        <v>1244</v>
      </c>
      <c r="E182" t="s">
        <v>1408</v>
      </c>
      <c r="F182" t="s">
        <v>1903</v>
      </c>
      <c r="G182" t="s">
        <v>1908</v>
      </c>
      <c r="H182" t="s">
        <v>1914</v>
      </c>
      <c r="I182" s="4">
        <v>99</v>
      </c>
      <c r="J182" s="3">
        <v>85</v>
      </c>
      <c r="K182" s="3">
        <f>Table1[[#This Row],[Quantity Sold]]*Table1[[#This Row],[Unit Price (INR)]]</f>
        <v>8415</v>
      </c>
      <c r="L182" t="s">
        <v>1923</v>
      </c>
    </row>
    <row r="183" spans="1:12" x14ac:dyDescent="0.35">
      <c r="A183" t="s">
        <v>192</v>
      </c>
      <c r="B183" s="5">
        <v>45689</v>
      </c>
      <c r="C183" t="s">
        <v>1212</v>
      </c>
      <c r="D183" t="s">
        <v>1240</v>
      </c>
      <c r="E183" t="s">
        <v>1249</v>
      </c>
      <c r="F183" t="s">
        <v>1899</v>
      </c>
      <c r="G183" t="s">
        <v>1910</v>
      </c>
      <c r="H183" t="s">
        <v>1916</v>
      </c>
      <c r="I183" s="4">
        <v>217</v>
      </c>
      <c r="J183" s="3">
        <v>458</v>
      </c>
      <c r="K183" s="3">
        <f>Table1[[#This Row],[Quantity Sold]]*Table1[[#This Row],[Unit Price (INR)]]</f>
        <v>99386</v>
      </c>
      <c r="L183" t="s">
        <v>1921</v>
      </c>
    </row>
    <row r="184" spans="1:12" x14ac:dyDescent="0.35">
      <c r="A184" t="s">
        <v>193</v>
      </c>
      <c r="B184" s="5">
        <v>45690</v>
      </c>
      <c r="C184" t="s">
        <v>1216</v>
      </c>
      <c r="D184" t="s">
        <v>1232</v>
      </c>
      <c r="E184" t="s">
        <v>1409</v>
      </c>
      <c r="F184" t="s">
        <v>1901</v>
      </c>
      <c r="G184" t="s">
        <v>1908</v>
      </c>
      <c r="H184" t="s">
        <v>1914</v>
      </c>
      <c r="I184" s="4">
        <v>301</v>
      </c>
      <c r="J184" s="3">
        <v>55</v>
      </c>
      <c r="K184" s="3">
        <f>Table1[[#This Row],[Quantity Sold]]*Table1[[#This Row],[Unit Price (INR)]]</f>
        <v>16555</v>
      </c>
      <c r="L184" t="s">
        <v>1922</v>
      </c>
    </row>
    <row r="185" spans="1:12" x14ac:dyDescent="0.35">
      <c r="A185" t="s">
        <v>194</v>
      </c>
      <c r="B185" s="5">
        <v>45691</v>
      </c>
      <c r="C185" t="s">
        <v>1213</v>
      </c>
      <c r="D185" t="s">
        <v>1244</v>
      </c>
      <c r="E185" t="s">
        <v>1287</v>
      </c>
      <c r="F185" t="s">
        <v>1905</v>
      </c>
      <c r="G185" t="s">
        <v>1908</v>
      </c>
      <c r="H185" t="s">
        <v>1912</v>
      </c>
      <c r="I185" s="4">
        <v>293</v>
      </c>
      <c r="J185" s="3">
        <v>457</v>
      </c>
      <c r="K185" s="3">
        <f>Table1[[#This Row],[Quantity Sold]]*Table1[[#This Row],[Unit Price (INR)]]</f>
        <v>133901</v>
      </c>
      <c r="L185" t="s">
        <v>1921</v>
      </c>
    </row>
    <row r="186" spans="1:12" x14ac:dyDescent="0.35">
      <c r="A186" t="s">
        <v>195</v>
      </c>
      <c r="B186" s="5">
        <v>45692</v>
      </c>
      <c r="C186" t="s">
        <v>1211</v>
      </c>
      <c r="D186" t="s">
        <v>1221</v>
      </c>
      <c r="E186" t="s">
        <v>1261</v>
      </c>
      <c r="F186" t="s">
        <v>1900</v>
      </c>
      <c r="G186" t="s">
        <v>1910</v>
      </c>
      <c r="H186" t="s">
        <v>1916</v>
      </c>
      <c r="I186" s="4">
        <v>127</v>
      </c>
      <c r="J186" s="3">
        <v>451</v>
      </c>
      <c r="K186" s="3">
        <f>Table1[[#This Row],[Quantity Sold]]*Table1[[#This Row],[Unit Price (INR)]]</f>
        <v>57277</v>
      </c>
      <c r="L186" t="s">
        <v>1922</v>
      </c>
    </row>
    <row r="187" spans="1:12" x14ac:dyDescent="0.35">
      <c r="A187" t="s">
        <v>196</v>
      </c>
      <c r="B187" s="5">
        <v>45693</v>
      </c>
      <c r="C187" t="s">
        <v>1211</v>
      </c>
      <c r="D187" t="s">
        <v>1221</v>
      </c>
      <c r="E187" t="s">
        <v>1410</v>
      </c>
      <c r="F187" t="s">
        <v>1904</v>
      </c>
      <c r="G187" t="s">
        <v>1908</v>
      </c>
      <c r="H187" t="s">
        <v>1917</v>
      </c>
      <c r="I187" s="4">
        <v>358</v>
      </c>
      <c r="J187" s="3">
        <v>264</v>
      </c>
      <c r="K187" s="3">
        <f>Table1[[#This Row],[Quantity Sold]]*Table1[[#This Row],[Unit Price (INR)]]</f>
        <v>94512</v>
      </c>
      <c r="L187" t="s">
        <v>1923</v>
      </c>
    </row>
    <row r="188" spans="1:12" x14ac:dyDescent="0.35">
      <c r="A188" t="s">
        <v>197</v>
      </c>
      <c r="B188" s="5">
        <v>45694</v>
      </c>
      <c r="C188" t="s">
        <v>1213</v>
      </c>
      <c r="D188" t="s">
        <v>1244</v>
      </c>
      <c r="E188" t="s">
        <v>1411</v>
      </c>
      <c r="F188" t="s">
        <v>1902</v>
      </c>
      <c r="G188" t="s">
        <v>1909</v>
      </c>
      <c r="H188" t="s">
        <v>1915</v>
      </c>
      <c r="I188" s="4">
        <v>184</v>
      </c>
      <c r="J188" s="3">
        <v>183</v>
      </c>
      <c r="K188" s="3">
        <f>Table1[[#This Row],[Quantity Sold]]*Table1[[#This Row],[Unit Price (INR)]]</f>
        <v>33672</v>
      </c>
      <c r="L188" t="s">
        <v>1920</v>
      </c>
    </row>
    <row r="189" spans="1:12" x14ac:dyDescent="0.35">
      <c r="A189" t="s">
        <v>198</v>
      </c>
      <c r="B189" s="5">
        <v>45695</v>
      </c>
      <c r="C189" t="s">
        <v>1211</v>
      </c>
      <c r="D189" t="s">
        <v>1224</v>
      </c>
      <c r="E189" t="s">
        <v>1412</v>
      </c>
      <c r="F189" t="s">
        <v>1899</v>
      </c>
      <c r="G189" t="s">
        <v>1910</v>
      </c>
      <c r="H189" t="s">
        <v>1913</v>
      </c>
      <c r="I189" s="4">
        <v>85</v>
      </c>
      <c r="J189" s="3">
        <v>334</v>
      </c>
      <c r="K189" s="3">
        <f>Table1[[#This Row],[Quantity Sold]]*Table1[[#This Row],[Unit Price (INR)]]</f>
        <v>28390</v>
      </c>
      <c r="L189" t="s">
        <v>1920</v>
      </c>
    </row>
    <row r="190" spans="1:12" x14ac:dyDescent="0.35">
      <c r="A190" t="s">
        <v>199</v>
      </c>
      <c r="B190" s="5">
        <v>45696</v>
      </c>
      <c r="C190" t="s">
        <v>1214</v>
      </c>
      <c r="D190" t="s">
        <v>1222</v>
      </c>
      <c r="E190" t="s">
        <v>1413</v>
      </c>
      <c r="F190" t="s">
        <v>1901</v>
      </c>
      <c r="G190" t="s">
        <v>1908</v>
      </c>
      <c r="H190" t="s">
        <v>1913</v>
      </c>
      <c r="I190" s="4">
        <v>110</v>
      </c>
      <c r="J190" s="3">
        <v>175</v>
      </c>
      <c r="K190" s="3">
        <f>Table1[[#This Row],[Quantity Sold]]*Table1[[#This Row],[Unit Price (INR)]]</f>
        <v>19250</v>
      </c>
      <c r="L190" t="s">
        <v>1921</v>
      </c>
    </row>
    <row r="191" spans="1:12" x14ac:dyDescent="0.35">
      <c r="A191" t="s">
        <v>200</v>
      </c>
      <c r="B191" s="5">
        <v>45697</v>
      </c>
      <c r="C191" t="s">
        <v>1213</v>
      </c>
      <c r="D191" t="s">
        <v>1220</v>
      </c>
      <c r="E191" t="s">
        <v>1414</v>
      </c>
      <c r="F191" t="s">
        <v>1900</v>
      </c>
      <c r="G191" t="s">
        <v>1907</v>
      </c>
      <c r="H191" t="s">
        <v>1917</v>
      </c>
      <c r="I191" s="4">
        <v>423</v>
      </c>
      <c r="J191" s="3">
        <v>458</v>
      </c>
      <c r="K191" s="3">
        <f>Table1[[#This Row],[Quantity Sold]]*Table1[[#This Row],[Unit Price (INR)]]</f>
        <v>193734</v>
      </c>
      <c r="L191" t="s">
        <v>1923</v>
      </c>
    </row>
    <row r="192" spans="1:12" x14ac:dyDescent="0.35">
      <c r="A192" t="s">
        <v>201</v>
      </c>
      <c r="B192" s="5">
        <v>45698</v>
      </c>
      <c r="C192" t="s">
        <v>1212</v>
      </c>
      <c r="D192" t="s">
        <v>1240</v>
      </c>
      <c r="E192" t="s">
        <v>1372</v>
      </c>
      <c r="F192" t="s">
        <v>1898</v>
      </c>
      <c r="G192" t="s">
        <v>1908</v>
      </c>
      <c r="H192" t="s">
        <v>1917</v>
      </c>
      <c r="I192" s="4">
        <v>160</v>
      </c>
      <c r="J192" s="3">
        <v>488</v>
      </c>
      <c r="K192" s="3">
        <f>Table1[[#This Row],[Quantity Sold]]*Table1[[#This Row],[Unit Price (INR)]]</f>
        <v>78080</v>
      </c>
      <c r="L192" t="s">
        <v>1920</v>
      </c>
    </row>
    <row r="193" spans="1:12" x14ac:dyDescent="0.35">
      <c r="A193" t="s">
        <v>202</v>
      </c>
      <c r="B193" s="5">
        <v>45699</v>
      </c>
      <c r="C193" t="s">
        <v>1213</v>
      </c>
      <c r="D193" t="s">
        <v>1234</v>
      </c>
      <c r="E193" t="s">
        <v>1415</v>
      </c>
      <c r="F193" t="s">
        <v>1905</v>
      </c>
      <c r="G193" t="s">
        <v>1909</v>
      </c>
      <c r="H193" t="s">
        <v>1912</v>
      </c>
      <c r="I193" s="4">
        <v>409</v>
      </c>
      <c r="J193" s="3">
        <v>386</v>
      </c>
      <c r="K193" s="3">
        <f>Table1[[#This Row],[Quantity Sold]]*Table1[[#This Row],[Unit Price (INR)]]</f>
        <v>157874</v>
      </c>
      <c r="L193" t="s">
        <v>1922</v>
      </c>
    </row>
    <row r="194" spans="1:12" x14ac:dyDescent="0.35">
      <c r="A194" t="s">
        <v>203</v>
      </c>
      <c r="B194" s="5">
        <v>45700</v>
      </c>
      <c r="C194" t="s">
        <v>1211</v>
      </c>
      <c r="D194" t="s">
        <v>1218</v>
      </c>
      <c r="E194" t="s">
        <v>1416</v>
      </c>
      <c r="F194" t="s">
        <v>1902</v>
      </c>
      <c r="G194" t="s">
        <v>1911</v>
      </c>
      <c r="H194" t="s">
        <v>1919</v>
      </c>
      <c r="I194" s="4">
        <v>279</v>
      </c>
      <c r="J194" s="3">
        <v>223</v>
      </c>
      <c r="K194" s="3">
        <f>Table1[[#This Row],[Quantity Sold]]*Table1[[#This Row],[Unit Price (INR)]]</f>
        <v>62217</v>
      </c>
      <c r="L194" t="s">
        <v>1920</v>
      </c>
    </row>
    <row r="195" spans="1:12" x14ac:dyDescent="0.35">
      <c r="A195" t="s">
        <v>204</v>
      </c>
      <c r="B195" s="5">
        <v>45701</v>
      </c>
      <c r="C195" t="s">
        <v>1214</v>
      </c>
      <c r="D195" t="s">
        <v>1226</v>
      </c>
      <c r="E195" t="s">
        <v>1417</v>
      </c>
      <c r="F195" t="s">
        <v>1897</v>
      </c>
      <c r="G195" t="s">
        <v>1908</v>
      </c>
      <c r="H195" t="s">
        <v>1915</v>
      </c>
      <c r="I195" s="4">
        <v>467</v>
      </c>
      <c r="J195" s="3">
        <v>201</v>
      </c>
      <c r="K195" s="3">
        <f>Table1[[#This Row],[Quantity Sold]]*Table1[[#This Row],[Unit Price (INR)]]</f>
        <v>93867</v>
      </c>
      <c r="L195" t="s">
        <v>1921</v>
      </c>
    </row>
    <row r="196" spans="1:12" x14ac:dyDescent="0.35">
      <c r="A196" t="s">
        <v>205</v>
      </c>
      <c r="B196" s="5">
        <v>45702</v>
      </c>
      <c r="C196" t="s">
        <v>1214</v>
      </c>
      <c r="D196" t="s">
        <v>1222</v>
      </c>
      <c r="E196" t="s">
        <v>1418</v>
      </c>
      <c r="F196" t="s">
        <v>1898</v>
      </c>
      <c r="G196" t="s">
        <v>1911</v>
      </c>
      <c r="H196" t="s">
        <v>1917</v>
      </c>
      <c r="I196" s="4">
        <v>80</v>
      </c>
      <c r="J196" s="3">
        <v>380</v>
      </c>
      <c r="K196" s="3">
        <f>Table1[[#This Row],[Quantity Sold]]*Table1[[#This Row],[Unit Price (INR)]]</f>
        <v>30400</v>
      </c>
      <c r="L196" t="s">
        <v>1921</v>
      </c>
    </row>
    <row r="197" spans="1:12" x14ac:dyDescent="0.35">
      <c r="A197" t="s">
        <v>206</v>
      </c>
      <c r="B197" s="5">
        <v>45703</v>
      </c>
      <c r="C197" t="s">
        <v>1216</v>
      </c>
      <c r="D197" t="s">
        <v>1232</v>
      </c>
      <c r="E197" t="s">
        <v>1419</v>
      </c>
      <c r="F197" t="s">
        <v>1899</v>
      </c>
      <c r="G197" t="s">
        <v>1907</v>
      </c>
      <c r="H197" t="s">
        <v>1914</v>
      </c>
      <c r="I197" s="4">
        <v>189</v>
      </c>
      <c r="J197" s="3">
        <v>75</v>
      </c>
      <c r="K197" s="3">
        <f>Table1[[#This Row],[Quantity Sold]]*Table1[[#This Row],[Unit Price (INR)]]</f>
        <v>14175</v>
      </c>
      <c r="L197" t="s">
        <v>1923</v>
      </c>
    </row>
    <row r="198" spans="1:12" x14ac:dyDescent="0.35">
      <c r="A198" t="s">
        <v>207</v>
      </c>
      <c r="B198" s="5">
        <v>45704</v>
      </c>
      <c r="C198" t="s">
        <v>1212</v>
      </c>
      <c r="D198" t="s">
        <v>1233</v>
      </c>
      <c r="E198" t="s">
        <v>1420</v>
      </c>
      <c r="F198" t="s">
        <v>1902</v>
      </c>
      <c r="G198" t="s">
        <v>1908</v>
      </c>
      <c r="H198" t="s">
        <v>1912</v>
      </c>
      <c r="I198" s="4">
        <v>133</v>
      </c>
      <c r="J198" s="3">
        <v>432</v>
      </c>
      <c r="K198" s="3">
        <f>Table1[[#This Row],[Quantity Sold]]*Table1[[#This Row],[Unit Price (INR)]]</f>
        <v>57456</v>
      </c>
      <c r="L198" t="s">
        <v>1921</v>
      </c>
    </row>
    <row r="199" spans="1:12" x14ac:dyDescent="0.35">
      <c r="A199" t="s">
        <v>208</v>
      </c>
      <c r="B199" s="5">
        <v>45705</v>
      </c>
      <c r="C199" t="s">
        <v>1215</v>
      </c>
      <c r="D199" t="s">
        <v>1243</v>
      </c>
      <c r="E199" t="s">
        <v>1421</v>
      </c>
      <c r="F199" t="s">
        <v>1898</v>
      </c>
      <c r="G199" t="s">
        <v>1910</v>
      </c>
      <c r="H199" t="s">
        <v>1913</v>
      </c>
      <c r="I199" s="4">
        <v>390</v>
      </c>
      <c r="J199" s="3">
        <v>164</v>
      </c>
      <c r="K199" s="3">
        <f>Table1[[#This Row],[Quantity Sold]]*Table1[[#This Row],[Unit Price (INR)]]</f>
        <v>63960</v>
      </c>
      <c r="L199" t="s">
        <v>1920</v>
      </c>
    </row>
    <row r="200" spans="1:12" x14ac:dyDescent="0.35">
      <c r="A200" t="s">
        <v>209</v>
      </c>
      <c r="B200" s="5">
        <v>45706</v>
      </c>
      <c r="C200" t="s">
        <v>1215</v>
      </c>
      <c r="D200" t="s">
        <v>1242</v>
      </c>
      <c r="E200" t="s">
        <v>1306</v>
      </c>
      <c r="F200" t="s">
        <v>1905</v>
      </c>
      <c r="G200" t="s">
        <v>1911</v>
      </c>
      <c r="H200" t="s">
        <v>1918</v>
      </c>
      <c r="I200" s="4">
        <v>302</v>
      </c>
      <c r="J200" s="3">
        <v>431</v>
      </c>
      <c r="K200" s="3">
        <f>Table1[[#This Row],[Quantity Sold]]*Table1[[#This Row],[Unit Price (INR)]]</f>
        <v>130162</v>
      </c>
      <c r="L200" t="s">
        <v>1920</v>
      </c>
    </row>
    <row r="201" spans="1:12" x14ac:dyDescent="0.35">
      <c r="A201" t="s">
        <v>210</v>
      </c>
      <c r="B201" s="5">
        <v>45707</v>
      </c>
      <c r="C201" t="s">
        <v>1213</v>
      </c>
      <c r="D201" t="s">
        <v>1234</v>
      </c>
      <c r="E201" t="s">
        <v>1251</v>
      </c>
      <c r="F201" t="s">
        <v>1897</v>
      </c>
      <c r="G201" t="s">
        <v>1907</v>
      </c>
      <c r="H201" t="s">
        <v>1912</v>
      </c>
      <c r="I201" s="4">
        <v>294</v>
      </c>
      <c r="J201" s="3">
        <v>333</v>
      </c>
      <c r="K201" s="3">
        <f>Table1[[#This Row],[Quantity Sold]]*Table1[[#This Row],[Unit Price (INR)]]</f>
        <v>97902</v>
      </c>
      <c r="L201" t="s">
        <v>1920</v>
      </c>
    </row>
    <row r="202" spans="1:12" x14ac:dyDescent="0.35">
      <c r="A202" t="s">
        <v>211</v>
      </c>
      <c r="B202" s="5">
        <v>45708</v>
      </c>
      <c r="C202" t="s">
        <v>1216</v>
      </c>
      <c r="D202" t="s">
        <v>1239</v>
      </c>
      <c r="E202" t="s">
        <v>1422</v>
      </c>
      <c r="F202" t="s">
        <v>1898</v>
      </c>
      <c r="G202" t="s">
        <v>1910</v>
      </c>
      <c r="H202" t="s">
        <v>1913</v>
      </c>
      <c r="I202" s="4">
        <v>204</v>
      </c>
      <c r="J202" s="3">
        <v>436</v>
      </c>
      <c r="K202" s="3">
        <f>Table1[[#This Row],[Quantity Sold]]*Table1[[#This Row],[Unit Price (INR)]]</f>
        <v>88944</v>
      </c>
      <c r="L202" t="s">
        <v>1920</v>
      </c>
    </row>
    <row r="203" spans="1:12" x14ac:dyDescent="0.35">
      <c r="A203" t="s">
        <v>212</v>
      </c>
      <c r="B203" s="5">
        <v>45709</v>
      </c>
      <c r="C203" t="s">
        <v>1217</v>
      </c>
      <c r="D203" t="s">
        <v>1245</v>
      </c>
      <c r="E203" t="s">
        <v>1423</v>
      </c>
      <c r="F203" t="s">
        <v>1906</v>
      </c>
      <c r="G203" t="s">
        <v>1910</v>
      </c>
      <c r="H203" t="s">
        <v>1916</v>
      </c>
      <c r="I203" s="4">
        <v>408</v>
      </c>
      <c r="J203" s="3">
        <v>124</v>
      </c>
      <c r="K203" s="3">
        <f>Table1[[#This Row],[Quantity Sold]]*Table1[[#This Row],[Unit Price (INR)]]</f>
        <v>50592</v>
      </c>
      <c r="L203" t="s">
        <v>1923</v>
      </c>
    </row>
    <row r="204" spans="1:12" x14ac:dyDescent="0.35">
      <c r="A204" t="s">
        <v>213</v>
      </c>
      <c r="B204" s="5">
        <v>45710</v>
      </c>
      <c r="C204" t="s">
        <v>1213</v>
      </c>
      <c r="D204" t="s">
        <v>1220</v>
      </c>
      <c r="E204" t="s">
        <v>1424</v>
      </c>
      <c r="F204" t="s">
        <v>1897</v>
      </c>
      <c r="G204" t="s">
        <v>1910</v>
      </c>
      <c r="H204" t="s">
        <v>1912</v>
      </c>
      <c r="I204" s="4">
        <v>237</v>
      </c>
      <c r="J204" s="3">
        <v>215</v>
      </c>
      <c r="K204" s="3">
        <f>Table1[[#This Row],[Quantity Sold]]*Table1[[#This Row],[Unit Price (INR)]]</f>
        <v>50955</v>
      </c>
      <c r="L204" t="s">
        <v>1922</v>
      </c>
    </row>
    <row r="205" spans="1:12" x14ac:dyDescent="0.35">
      <c r="A205" t="s">
        <v>214</v>
      </c>
      <c r="B205" s="5">
        <v>45711</v>
      </c>
      <c r="C205" t="s">
        <v>1216</v>
      </c>
      <c r="D205" t="s">
        <v>1241</v>
      </c>
      <c r="E205" t="s">
        <v>1425</v>
      </c>
      <c r="F205" t="s">
        <v>1899</v>
      </c>
      <c r="G205" t="s">
        <v>1910</v>
      </c>
      <c r="H205" t="s">
        <v>1913</v>
      </c>
      <c r="I205" s="4">
        <v>440</v>
      </c>
      <c r="J205" s="3">
        <v>238</v>
      </c>
      <c r="K205" s="3">
        <f>Table1[[#This Row],[Quantity Sold]]*Table1[[#This Row],[Unit Price (INR)]]</f>
        <v>104720</v>
      </c>
      <c r="L205" t="s">
        <v>1922</v>
      </c>
    </row>
    <row r="206" spans="1:12" x14ac:dyDescent="0.35">
      <c r="A206" t="s">
        <v>215</v>
      </c>
      <c r="B206" s="5">
        <v>45712</v>
      </c>
      <c r="C206" t="s">
        <v>1212</v>
      </c>
      <c r="D206" t="s">
        <v>1229</v>
      </c>
      <c r="E206" t="s">
        <v>1426</v>
      </c>
      <c r="F206" t="s">
        <v>1905</v>
      </c>
      <c r="G206" t="s">
        <v>1908</v>
      </c>
      <c r="H206" t="s">
        <v>1919</v>
      </c>
      <c r="I206" s="4">
        <v>439</v>
      </c>
      <c r="J206" s="3">
        <v>127</v>
      </c>
      <c r="K206" s="3">
        <f>Table1[[#This Row],[Quantity Sold]]*Table1[[#This Row],[Unit Price (INR)]]</f>
        <v>55753</v>
      </c>
      <c r="L206" t="s">
        <v>1923</v>
      </c>
    </row>
    <row r="207" spans="1:12" x14ac:dyDescent="0.35">
      <c r="A207" t="s">
        <v>216</v>
      </c>
      <c r="B207" s="5">
        <v>45713</v>
      </c>
      <c r="C207" t="s">
        <v>1212</v>
      </c>
      <c r="D207" t="s">
        <v>1240</v>
      </c>
      <c r="E207" t="s">
        <v>1427</v>
      </c>
      <c r="F207" t="s">
        <v>1900</v>
      </c>
      <c r="G207" t="s">
        <v>1908</v>
      </c>
      <c r="H207" t="s">
        <v>1912</v>
      </c>
      <c r="I207" s="4">
        <v>445</v>
      </c>
      <c r="J207" s="3">
        <v>484</v>
      </c>
      <c r="K207" s="3">
        <f>Table1[[#This Row],[Quantity Sold]]*Table1[[#This Row],[Unit Price (INR)]]</f>
        <v>215380</v>
      </c>
      <c r="L207" t="s">
        <v>1921</v>
      </c>
    </row>
    <row r="208" spans="1:12" x14ac:dyDescent="0.35">
      <c r="A208" t="s">
        <v>217</v>
      </c>
      <c r="B208" s="5">
        <v>45714</v>
      </c>
      <c r="C208" t="s">
        <v>1212</v>
      </c>
      <c r="D208" t="s">
        <v>1229</v>
      </c>
      <c r="E208" t="s">
        <v>1428</v>
      </c>
      <c r="F208" t="s">
        <v>1904</v>
      </c>
      <c r="G208" t="s">
        <v>1908</v>
      </c>
      <c r="H208" t="s">
        <v>1912</v>
      </c>
      <c r="I208" s="4">
        <v>284</v>
      </c>
      <c r="J208" s="3">
        <v>139</v>
      </c>
      <c r="K208" s="3">
        <f>Table1[[#This Row],[Quantity Sold]]*Table1[[#This Row],[Unit Price (INR)]]</f>
        <v>39476</v>
      </c>
      <c r="L208" t="s">
        <v>1922</v>
      </c>
    </row>
    <row r="209" spans="1:12" x14ac:dyDescent="0.35">
      <c r="A209" t="s">
        <v>218</v>
      </c>
      <c r="B209" s="5">
        <v>45715</v>
      </c>
      <c r="C209" t="s">
        <v>1212</v>
      </c>
      <c r="D209" t="s">
        <v>1219</v>
      </c>
      <c r="E209" t="s">
        <v>1386</v>
      </c>
      <c r="F209" t="s">
        <v>1904</v>
      </c>
      <c r="G209" t="s">
        <v>1907</v>
      </c>
      <c r="H209" t="s">
        <v>1915</v>
      </c>
      <c r="I209" s="4">
        <v>470</v>
      </c>
      <c r="J209" s="3">
        <v>225</v>
      </c>
      <c r="K209" s="3">
        <f>Table1[[#This Row],[Quantity Sold]]*Table1[[#This Row],[Unit Price (INR)]]</f>
        <v>105750</v>
      </c>
      <c r="L209" t="s">
        <v>1921</v>
      </c>
    </row>
    <row r="210" spans="1:12" x14ac:dyDescent="0.35">
      <c r="A210" t="s">
        <v>219</v>
      </c>
      <c r="B210" s="5">
        <v>45716</v>
      </c>
      <c r="C210" t="s">
        <v>1212</v>
      </c>
      <c r="D210" t="s">
        <v>1233</v>
      </c>
      <c r="E210" t="s">
        <v>1429</v>
      </c>
      <c r="F210" t="s">
        <v>1904</v>
      </c>
      <c r="G210" t="s">
        <v>1907</v>
      </c>
      <c r="H210" t="s">
        <v>1917</v>
      </c>
      <c r="I210" s="4">
        <v>115</v>
      </c>
      <c r="J210" s="3">
        <v>70</v>
      </c>
      <c r="K210" s="3">
        <f>Table1[[#This Row],[Quantity Sold]]*Table1[[#This Row],[Unit Price (INR)]]</f>
        <v>8050</v>
      </c>
      <c r="L210" t="s">
        <v>1922</v>
      </c>
    </row>
    <row r="211" spans="1:12" x14ac:dyDescent="0.35">
      <c r="A211" t="s">
        <v>220</v>
      </c>
      <c r="B211" s="5">
        <v>45717</v>
      </c>
      <c r="C211" t="s">
        <v>1216</v>
      </c>
      <c r="D211" t="s">
        <v>1239</v>
      </c>
      <c r="E211" t="s">
        <v>1430</v>
      </c>
      <c r="F211" t="s">
        <v>1902</v>
      </c>
      <c r="G211" t="s">
        <v>1907</v>
      </c>
      <c r="H211" t="s">
        <v>1915</v>
      </c>
      <c r="I211" s="4">
        <v>30</v>
      </c>
      <c r="J211" s="3">
        <v>103</v>
      </c>
      <c r="K211" s="3">
        <f>Table1[[#This Row],[Quantity Sold]]*Table1[[#This Row],[Unit Price (INR)]]</f>
        <v>3090</v>
      </c>
      <c r="L211" t="s">
        <v>1921</v>
      </c>
    </row>
    <row r="212" spans="1:12" x14ac:dyDescent="0.35">
      <c r="A212" t="s">
        <v>221</v>
      </c>
      <c r="B212" s="5">
        <v>45718</v>
      </c>
      <c r="C212" t="s">
        <v>1216</v>
      </c>
      <c r="D212" t="s">
        <v>1232</v>
      </c>
      <c r="E212" t="s">
        <v>1431</v>
      </c>
      <c r="F212" t="s">
        <v>1899</v>
      </c>
      <c r="G212" t="s">
        <v>1909</v>
      </c>
      <c r="H212" t="s">
        <v>1912</v>
      </c>
      <c r="I212" s="4">
        <v>73</v>
      </c>
      <c r="J212" s="3">
        <v>233</v>
      </c>
      <c r="K212" s="3">
        <f>Table1[[#This Row],[Quantity Sold]]*Table1[[#This Row],[Unit Price (INR)]]</f>
        <v>17009</v>
      </c>
      <c r="L212" t="s">
        <v>1923</v>
      </c>
    </row>
    <row r="213" spans="1:12" x14ac:dyDescent="0.35">
      <c r="A213" t="s">
        <v>222</v>
      </c>
      <c r="B213" s="5">
        <v>45719</v>
      </c>
      <c r="C213" t="s">
        <v>1214</v>
      </c>
      <c r="D213" t="s">
        <v>1222</v>
      </c>
      <c r="E213" t="s">
        <v>1432</v>
      </c>
      <c r="F213" t="s">
        <v>1905</v>
      </c>
      <c r="G213" t="s">
        <v>1907</v>
      </c>
      <c r="H213" t="s">
        <v>1917</v>
      </c>
      <c r="I213" s="4">
        <v>174</v>
      </c>
      <c r="J213" s="3">
        <v>408</v>
      </c>
      <c r="K213" s="3">
        <f>Table1[[#This Row],[Quantity Sold]]*Table1[[#This Row],[Unit Price (INR)]]</f>
        <v>70992</v>
      </c>
      <c r="L213" t="s">
        <v>1920</v>
      </c>
    </row>
    <row r="214" spans="1:12" x14ac:dyDescent="0.35">
      <c r="A214" t="s">
        <v>223</v>
      </c>
      <c r="B214" s="5">
        <v>45720</v>
      </c>
      <c r="C214" t="s">
        <v>1215</v>
      </c>
      <c r="D214" t="s">
        <v>1242</v>
      </c>
      <c r="E214" t="s">
        <v>1433</v>
      </c>
      <c r="F214" t="s">
        <v>1897</v>
      </c>
      <c r="G214" t="s">
        <v>1908</v>
      </c>
      <c r="H214" t="s">
        <v>1913</v>
      </c>
      <c r="I214" s="4">
        <v>36</v>
      </c>
      <c r="J214" s="3">
        <v>271</v>
      </c>
      <c r="K214" s="3">
        <f>Table1[[#This Row],[Quantity Sold]]*Table1[[#This Row],[Unit Price (INR)]]</f>
        <v>9756</v>
      </c>
      <c r="L214" t="s">
        <v>1921</v>
      </c>
    </row>
    <row r="215" spans="1:12" x14ac:dyDescent="0.35">
      <c r="A215" t="s">
        <v>224</v>
      </c>
      <c r="B215" s="5">
        <v>45721</v>
      </c>
      <c r="C215" t="s">
        <v>1211</v>
      </c>
      <c r="D215" t="s">
        <v>1224</v>
      </c>
      <c r="E215" t="s">
        <v>1434</v>
      </c>
      <c r="F215" t="s">
        <v>1902</v>
      </c>
      <c r="G215" t="s">
        <v>1908</v>
      </c>
      <c r="H215" t="s">
        <v>1918</v>
      </c>
      <c r="I215" s="4">
        <v>320</v>
      </c>
      <c r="J215" s="3">
        <v>364</v>
      </c>
      <c r="K215" s="3">
        <f>Table1[[#This Row],[Quantity Sold]]*Table1[[#This Row],[Unit Price (INR)]]</f>
        <v>116480</v>
      </c>
      <c r="L215" t="s">
        <v>1920</v>
      </c>
    </row>
    <row r="216" spans="1:12" x14ac:dyDescent="0.35">
      <c r="A216" t="s">
        <v>225</v>
      </c>
      <c r="B216" s="5">
        <v>45722</v>
      </c>
      <c r="C216" t="s">
        <v>1212</v>
      </c>
      <c r="D216" t="s">
        <v>1233</v>
      </c>
      <c r="E216" t="s">
        <v>1435</v>
      </c>
      <c r="F216" t="s">
        <v>1899</v>
      </c>
      <c r="G216" t="s">
        <v>1909</v>
      </c>
      <c r="H216" t="s">
        <v>1918</v>
      </c>
      <c r="I216" s="4">
        <v>294</v>
      </c>
      <c r="J216" s="3">
        <v>377</v>
      </c>
      <c r="K216" s="3">
        <f>Table1[[#This Row],[Quantity Sold]]*Table1[[#This Row],[Unit Price (INR)]]</f>
        <v>110838</v>
      </c>
      <c r="L216" t="s">
        <v>1921</v>
      </c>
    </row>
    <row r="217" spans="1:12" x14ac:dyDescent="0.35">
      <c r="A217" t="s">
        <v>226</v>
      </c>
      <c r="B217" s="5">
        <v>45723</v>
      </c>
      <c r="C217" t="s">
        <v>1217</v>
      </c>
      <c r="D217" t="s">
        <v>1246</v>
      </c>
      <c r="E217" t="s">
        <v>1301</v>
      </c>
      <c r="F217" t="s">
        <v>1900</v>
      </c>
      <c r="G217" t="s">
        <v>1909</v>
      </c>
      <c r="H217" t="s">
        <v>1912</v>
      </c>
      <c r="I217" s="4">
        <v>157</v>
      </c>
      <c r="J217" s="3">
        <v>228</v>
      </c>
      <c r="K217" s="3">
        <f>Table1[[#This Row],[Quantity Sold]]*Table1[[#This Row],[Unit Price (INR)]]</f>
        <v>35796</v>
      </c>
      <c r="L217" t="s">
        <v>1921</v>
      </c>
    </row>
    <row r="218" spans="1:12" x14ac:dyDescent="0.35">
      <c r="A218" t="s">
        <v>227</v>
      </c>
      <c r="B218" s="5">
        <v>45724</v>
      </c>
      <c r="C218" t="s">
        <v>1211</v>
      </c>
      <c r="D218" t="s">
        <v>1221</v>
      </c>
      <c r="E218" t="s">
        <v>1436</v>
      </c>
      <c r="F218" t="s">
        <v>1906</v>
      </c>
      <c r="G218" t="s">
        <v>1907</v>
      </c>
      <c r="H218" t="s">
        <v>1919</v>
      </c>
      <c r="I218" s="4">
        <v>290</v>
      </c>
      <c r="J218" s="3">
        <v>325</v>
      </c>
      <c r="K218" s="3">
        <f>Table1[[#This Row],[Quantity Sold]]*Table1[[#This Row],[Unit Price (INR)]]</f>
        <v>94250</v>
      </c>
      <c r="L218" t="s">
        <v>1921</v>
      </c>
    </row>
    <row r="219" spans="1:12" x14ac:dyDescent="0.35">
      <c r="A219" t="s">
        <v>228</v>
      </c>
      <c r="B219" s="5">
        <v>45725</v>
      </c>
      <c r="C219" t="s">
        <v>1216</v>
      </c>
      <c r="D219" t="s">
        <v>1239</v>
      </c>
      <c r="E219" t="s">
        <v>1401</v>
      </c>
      <c r="F219" t="s">
        <v>1905</v>
      </c>
      <c r="G219" t="s">
        <v>1911</v>
      </c>
      <c r="H219" t="s">
        <v>1916</v>
      </c>
      <c r="I219" s="4">
        <v>335</v>
      </c>
      <c r="J219" s="3">
        <v>161</v>
      </c>
      <c r="K219" s="3">
        <f>Table1[[#This Row],[Quantity Sold]]*Table1[[#This Row],[Unit Price (INR)]]</f>
        <v>53935</v>
      </c>
      <c r="L219" t="s">
        <v>1921</v>
      </c>
    </row>
    <row r="220" spans="1:12" x14ac:dyDescent="0.35">
      <c r="A220" t="s">
        <v>229</v>
      </c>
      <c r="B220" s="5">
        <v>45726</v>
      </c>
      <c r="C220" t="s">
        <v>1217</v>
      </c>
      <c r="D220" t="s">
        <v>1237</v>
      </c>
      <c r="E220" t="s">
        <v>1437</v>
      </c>
      <c r="F220" t="s">
        <v>1904</v>
      </c>
      <c r="G220" t="s">
        <v>1909</v>
      </c>
      <c r="H220" t="s">
        <v>1913</v>
      </c>
      <c r="I220" s="4">
        <v>328</v>
      </c>
      <c r="J220" s="3">
        <v>273</v>
      </c>
      <c r="K220" s="3">
        <f>Table1[[#This Row],[Quantity Sold]]*Table1[[#This Row],[Unit Price (INR)]]</f>
        <v>89544</v>
      </c>
      <c r="L220" t="s">
        <v>1921</v>
      </c>
    </row>
    <row r="221" spans="1:12" x14ac:dyDescent="0.35">
      <c r="A221" t="s">
        <v>230</v>
      </c>
      <c r="B221" s="5">
        <v>45727</v>
      </c>
      <c r="C221" t="s">
        <v>1217</v>
      </c>
      <c r="D221" t="s">
        <v>1238</v>
      </c>
      <c r="E221" t="s">
        <v>1438</v>
      </c>
      <c r="F221" t="s">
        <v>1898</v>
      </c>
      <c r="G221" t="s">
        <v>1910</v>
      </c>
      <c r="H221" t="s">
        <v>1917</v>
      </c>
      <c r="I221" s="4">
        <v>173</v>
      </c>
      <c r="J221" s="3">
        <v>263</v>
      </c>
      <c r="K221" s="3">
        <f>Table1[[#This Row],[Quantity Sold]]*Table1[[#This Row],[Unit Price (INR)]]</f>
        <v>45499</v>
      </c>
      <c r="L221" t="s">
        <v>1920</v>
      </c>
    </row>
    <row r="222" spans="1:12" x14ac:dyDescent="0.35">
      <c r="A222" t="s">
        <v>231</v>
      </c>
      <c r="B222" s="5">
        <v>45728</v>
      </c>
      <c r="C222" t="s">
        <v>1217</v>
      </c>
      <c r="D222" t="s">
        <v>1246</v>
      </c>
      <c r="E222" t="s">
        <v>1439</v>
      </c>
      <c r="F222" t="s">
        <v>1905</v>
      </c>
      <c r="G222" t="s">
        <v>1908</v>
      </c>
      <c r="H222" t="s">
        <v>1912</v>
      </c>
      <c r="I222" s="4">
        <v>395</v>
      </c>
      <c r="J222" s="3">
        <v>108</v>
      </c>
      <c r="K222" s="3">
        <f>Table1[[#This Row],[Quantity Sold]]*Table1[[#This Row],[Unit Price (INR)]]</f>
        <v>42660</v>
      </c>
      <c r="L222" t="s">
        <v>1921</v>
      </c>
    </row>
    <row r="223" spans="1:12" x14ac:dyDescent="0.35">
      <c r="A223" t="s">
        <v>232</v>
      </c>
      <c r="B223" s="5">
        <v>45729</v>
      </c>
      <c r="C223" t="s">
        <v>1214</v>
      </c>
      <c r="D223" t="s">
        <v>1226</v>
      </c>
      <c r="E223" t="s">
        <v>1440</v>
      </c>
      <c r="F223" t="s">
        <v>1903</v>
      </c>
      <c r="G223" t="s">
        <v>1910</v>
      </c>
      <c r="H223" t="s">
        <v>1913</v>
      </c>
      <c r="I223" s="4">
        <v>415</v>
      </c>
      <c r="J223" s="3">
        <v>376</v>
      </c>
      <c r="K223" s="3">
        <f>Table1[[#This Row],[Quantity Sold]]*Table1[[#This Row],[Unit Price (INR)]]</f>
        <v>156040</v>
      </c>
      <c r="L223" t="s">
        <v>1920</v>
      </c>
    </row>
    <row r="224" spans="1:12" x14ac:dyDescent="0.35">
      <c r="A224" t="s">
        <v>233</v>
      </c>
      <c r="B224" s="5">
        <v>45730</v>
      </c>
      <c r="C224" t="s">
        <v>1216</v>
      </c>
      <c r="D224" t="s">
        <v>1241</v>
      </c>
      <c r="E224" t="s">
        <v>1334</v>
      </c>
      <c r="F224" t="s">
        <v>1899</v>
      </c>
      <c r="G224" t="s">
        <v>1908</v>
      </c>
      <c r="H224" t="s">
        <v>1912</v>
      </c>
      <c r="I224" s="4">
        <v>233</v>
      </c>
      <c r="J224" s="3">
        <v>442</v>
      </c>
      <c r="K224" s="3">
        <f>Table1[[#This Row],[Quantity Sold]]*Table1[[#This Row],[Unit Price (INR)]]</f>
        <v>102986</v>
      </c>
      <c r="L224" t="s">
        <v>1923</v>
      </c>
    </row>
    <row r="225" spans="1:12" x14ac:dyDescent="0.35">
      <c r="A225" t="s">
        <v>234</v>
      </c>
      <c r="B225" s="5">
        <v>45731</v>
      </c>
      <c r="C225" t="s">
        <v>1217</v>
      </c>
      <c r="D225" t="s">
        <v>1246</v>
      </c>
      <c r="E225" t="s">
        <v>1441</v>
      </c>
      <c r="F225" t="s">
        <v>1901</v>
      </c>
      <c r="G225" t="s">
        <v>1908</v>
      </c>
      <c r="H225" t="s">
        <v>1919</v>
      </c>
      <c r="I225" s="4">
        <v>281</v>
      </c>
      <c r="J225" s="3">
        <v>158</v>
      </c>
      <c r="K225" s="3">
        <f>Table1[[#This Row],[Quantity Sold]]*Table1[[#This Row],[Unit Price (INR)]]</f>
        <v>44398</v>
      </c>
      <c r="L225" t="s">
        <v>1922</v>
      </c>
    </row>
    <row r="226" spans="1:12" x14ac:dyDescent="0.35">
      <c r="A226" t="s">
        <v>235</v>
      </c>
      <c r="B226" s="5">
        <v>45732</v>
      </c>
      <c r="C226" t="s">
        <v>1212</v>
      </c>
      <c r="D226" t="s">
        <v>1219</v>
      </c>
      <c r="E226" t="s">
        <v>1442</v>
      </c>
      <c r="F226" t="s">
        <v>1900</v>
      </c>
      <c r="G226" t="s">
        <v>1909</v>
      </c>
      <c r="H226" t="s">
        <v>1914</v>
      </c>
      <c r="I226" s="4">
        <v>155</v>
      </c>
      <c r="J226" s="3">
        <v>434</v>
      </c>
      <c r="K226" s="3">
        <f>Table1[[#This Row],[Quantity Sold]]*Table1[[#This Row],[Unit Price (INR)]]</f>
        <v>67270</v>
      </c>
      <c r="L226" t="s">
        <v>1921</v>
      </c>
    </row>
    <row r="227" spans="1:12" x14ac:dyDescent="0.35">
      <c r="A227" t="s">
        <v>236</v>
      </c>
      <c r="B227" s="5">
        <v>45733</v>
      </c>
      <c r="C227" t="s">
        <v>1213</v>
      </c>
      <c r="D227" t="s">
        <v>1234</v>
      </c>
      <c r="E227" t="s">
        <v>1358</v>
      </c>
      <c r="F227" t="s">
        <v>1906</v>
      </c>
      <c r="G227" t="s">
        <v>1909</v>
      </c>
      <c r="H227" t="s">
        <v>1914</v>
      </c>
      <c r="I227" s="4">
        <v>462</v>
      </c>
      <c r="J227" s="3">
        <v>206</v>
      </c>
      <c r="K227" s="3">
        <f>Table1[[#This Row],[Quantity Sold]]*Table1[[#This Row],[Unit Price (INR)]]</f>
        <v>95172</v>
      </c>
      <c r="L227" t="s">
        <v>1922</v>
      </c>
    </row>
    <row r="228" spans="1:12" x14ac:dyDescent="0.35">
      <c r="A228" t="s">
        <v>237</v>
      </c>
      <c r="B228" s="5">
        <v>45734</v>
      </c>
      <c r="C228" t="s">
        <v>1217</v>
      </c>
      <c r="D228" t="s">
        <v>1238</v>
      </c>
      <c r="E228" t="s">
        <v>1443</v>
      </c>
      <c r="F228" t="s">
        <v>1900</v>
      </c>
      <c r="G228" t="s">
        <v>1910</v>
      </c>
      <c r="H228" t="s">
        <v>1919</v>
      </c>
      <c r="I228" s="4">
        <v>447</v>
      </c>
      <c r="J228" s="3">
        <v>240</v>
      </c>
      <c r="K228" s="3">
        <f>Table1[[#This Row],[Quantity Sold]]*Table1[[#This Row],[Unit Price (INR)]]</f>
        <v>107280</v>
      </c>
      <c r="L228" t="s">
        <v>1920</v>
      </c>
    </row>
    <row r="229" spans="1:12" x14ac:dyDescent="0.35">
      <c r="A229" t="s">
        <v>238</v>
      </c>
      <c r="B229" s="5">
        <v>45735</v>
      </c>
      <c r="C229" t="s">
        <v>1214</v>
      </c>
      <c r="D229" t="s">
        <v>1226</v>
      </c>
      <c r="E229" t="s">
        <v>1444</v>
      </c>
      <c r="F229" t="s">
        <v>1905</v>
      </c>
      <c r="G229" t="s">
        <v>1908</v>
      </c>
      <c r="H229" t="s">
        <v>1917</v>
      </c>
      <c r="I229" s="4">
        <v>365</v>
      </c>
      <c r="J229" s="3">
        <v>249</v>
      </c>
      <c r="K229" s="3">
        <f>Table1[[#This Row],[Quantity Sold]]*Table1[[#This Row],[Unit Price (INR)]]</f>
        <v>90885</v>
      </c>
      <c r="L229" t="s">
        <v>1923</v>
      </c>
    </row>
    <row r="230" spans="1:12" x14ac:dyDescent="0.35">
      <c r="A230" t="s">
        <v>239</v>
      </c>
      <c r="B230" s="5">
        <v>45736</v>
      </c>
      <c r="C230" t="s">
        <v>1211</v>
      </c>
      <c r="D230" t="s">
        <v>1218</v>
      </c>
      <c r="E230" t="s">
        <v>1445</v>
      </c>
      <c r="F230" t="s">
        <v>1901</v>
      </c>
      <c r="G230" t="s">
        <v>1910</v>
      </c>
      <c r="H230" t="s">
        <v>1915</v>
      </c>
      <c r="I230" s="4">
        <v>39</v>
      </c>
      <c r="J230" s="3">
        <v>361</v>
      </c>
      <c r="K230" s="3">
        <f>Table1[[#This Row],[Quantity Sold]]*Table1[[#This Row],[Unit Price (INR)]]</f>
        <v>14079</v>
      </c>
      <c r="L230" t="s">
        <v>1923</v>
      </c>
    </row>
    <row r="231" spans="1:12" x14ac:dyDescent="0.35">
      <c r="A231" t="s">
        <v>240</v>
      </c>
      <c r="B231" s="5">
        <v>45737</v>
      </c>
      <c r="C231" t="s">
        <v>1216</v>
      </c>
      <c r="D231" t="s">
        <v>1232</v>
      </c>
      <c r="E231" t="s">
        <v>1446</v>
      </c>
      <c r="F231" t="s">
        <v>1903</v>
      </c>
      <c r="G231" t="s">
        <v>1911</v>
      </c>
      <c r="H231" t="s">
        <v>1919</v>
      </c>
      <c r="I231" s="4">
        <v>54</v>
      </c>
      <c r="J231" s="3">
        <v>245</v>
      </c>
      <c r="K231" s="3">
        <f>Table1[[#This Row],[Quantity Sold]]*Table1[[#This Row],[Unit Price (INR)]]</f>
        <v>13230</v>
      </c>
      <c r="L231" t="s">
        <v>1923</v>
      </c>
    </row>
    <row r="232" spans="1:12" x14ac:dyDescent="0.35">
      <c r="A232" t="s">
        <v>241</v>
      </c>
      <c r="B232" s="5">
        <v>45738</v>
      </c>
      <c r="C232" t="s">
        <v>1214</v>
      </c>
      <c r="D232" t="s">
        <v>1222</v>
      </c>
      <c r="E232" t="s">
        <v>1415</v>
      </c>
      <c r="F232" t="s">
        <v>1897</v>
      </c>
      <c r="G232" t="s">
        <v>1910</v>
      </c>
      <c r="H232" t="s">
        <v>1912</v>
      </c>
      <c r="I232" s="4">
        <v>284</v>
      </c>
      <c r="J232" s="3">
        <v>84</v>
      </c>
      <c r="K232" s="3">
        <f>Table1[[#This Row],[Quantity Sold]]*Table1[[#This Row],[Unit Price (INR)]]</f>
        <v>23856</v>
      </c>
      <c r="L232" t="s">
        <v>1922</v>
      </c>
    </row>
    <row r="233" spans="1:12" x14ac:dyDescent="0.35">
      <c r="A233" t="s">
        <v>242</v>
      </c>
      <c r="B233" s="5">
        <v>45739</v>
      </c>
      <c r="C233" t="s">
        <v>1217</v>
      </c>
      <c r="D233" t="s">
        <v>1237</v>
      </c>
      <c r="E233" t="s">
        <v>1447</v>
      </c>
      <c r="F233" t="s">
        <v>1898</v>
      </c>
      <c r="G233" t="s">
        <v>1907</v>
      </c>
      <c r="H233" t="s">
        <v>1917</v>
      </c>
      <c r="I233" s="4">
        <v>480</v>
      </c>
      <c r="J233" s="3">
        <v>428</v>
      </c>
      <c r="K233" s="3">
        <f>Table1[[#This Row],[Quantity Sold]]*Table1[[#This Row],[Unit Price (INR)]]</f>
        <v>205440</v>
      </c>
      <c r="L233" t="s">
        <v>1920</v>
      </c>
    </row>
    <row r="234" spans="1:12" x14ac:dyDescent="0.35">
      <c r="A234" t="s">
        <v>243</v>
      </c>
      <c r="B234" s="5">
        <v>45740</v>
      </c>
      <c r="C234" t="s">
        <v>1216</v>
      </c>
      <c r="D234" t="s">
        <v>1232</v>
      </c>
      <c r="E234" t="s">
        <v>1448</v>
      </c>
      <c r="F234" t="s">
        <v>1901</v>
      </c>
      <c r="G234" t="s">
        <v>1910</v>
      </c>
      <c r="H234" t="s">
        <v>1918</v>
      </c>
      <c r="I234" s="4">
        <v>43</v>
      </c>
      <c r="J234" s="3">
        <v>436</v>
      </c>
      <c r="K234" s="3">
        <f>Table1[[#This Row],[Quantity Sold]]*Table1[[#This Row],[Unit Price (INR)]]</f>
        <v>18748</v>
      </c>
      <c r="L234" t="s">
        <v>1921</v>
      </c>
    </row>
    <row r="235" spans="1:12" x14ac:dyDescent="0.35">
      <c r="A235" t="s">
        <v>244</v>
      </c>
      <c r="B235" s="5">
        <v>45741</v>
      </c>
      <c r="C235" t="s">
        <v>1213</v>
      </c>
      <c r="D235" t="s">
        <v>1223</v>
      </c>
      <c r="E235" t="s">
        <v>1449</v>
      </c>
      <c r="F235" t="s">
        <v>1899</v>
      </c>
      <c r="G235" t="s">
        <v>1907</v>
      </c>
      <c r="H235" t="s">
        <v>1919</v>
      </c>
      <c r="I235" s="4">
        <v>150</v>
      </c>
      <c r="J235" s="3">
        <v>295</v>
      </c>
      <c r="K235" s="3">
        <f>Table1[[#This Row],[Quantity Sold]]*Table1[[#This Row],[Unit Price (INR)]]</f>
        <v>44250</v>
      </c>
      <c r="L235" t="s">
        <v>1921</v>
      </c>
    </row>
    <row r="236" spans="1:12" x14ac:dyDescent="0.35">
      <c r="A236" t="s">
        <v>245</v>
      </c>
      <c r="B236" s="5">
        <v>45742</v>
      </c>
      <c r="C236" t="s">
        <v>1217</v>
      </c>
      <c r="D236" t="s">
        <v>1235</v>
      </c>
      <c r="E236" t="s">
        <v>1450</v>
      </c>
      <c r="F236" t="s">
        <v>1904</v>
      </c>
      <c r="G236" t="s">
        <v>1907</v>
      </c>
      <c r="H236" t="s">
        <v>1917</v>
      </c>
      <c r="I236" s="4">
        <v>436</v>
      </c>
      <c r="J236" s="3">
        <v>286</v>
      </c>
      <c r="K236" s="3">
        <f>Table1[[#This Row],[Quantity Sold]]*Table1[[#This Row],[Unit Price (INR)]]</f>
        <v>124696</v>
      </c>
      <c r="L236" t="s">
        <v>1920</v>
      </c>
    </row>
    <row r="237" spans="1:12" x14ac:dyDescent="0.35">
      <c r="A237" t="s">
        <v>246</v>
      </c>
      <c r="B237" s="5">
        <v>45743</v>
      </c>
      <c r="C237" t="s">
        <v>1214</v>
      </c>
      <c r="D237" t="s">
        <v>1222</v>
      </c>
      <c r="E237" t="s">
        <v>1451</v>
      </c>
      <c r="F237" t="s">
        <v>1903</v>
      </c>
      <c r="G237" t="s">
        <v>1907</v>
      </c>
      <c r="H237" t="s">
        <v>1919</v>
      </c>
      <c r="I237" s="4">
        <v>327</v>
      </c>
      <c r="J237" s="3">
        <v>153</v>
      </c>
      <c r="K237" s="3">
        <f>Table1[[#This Row],[Quantity Sold]]*Table1[[#This Row],[Unit Price (INR)]]</f>
        <v>50031</v>
      </c>
      <c r="L237" t="s">
        <v>1922</v>
      </c>
    </row>
    <row r="238" spans="1:12" x14ac:dyDescent="0.35">
      <c r="A238" t="s">
        <v>247</v>
      </c>
      <c r="B238" s="5">
        <v>45744</v>
      </c>
      <c r="C238" t="s">
        <v>1215</v>
      </c>
      <c r="D238" t="s">
        <v>1242</v>
      </c>
      <c r="E238" t="s">
        <v>1351</v>
      </c>
      <c r="F238" t="s">
        <v>1898</v>
      </c>
      <c r="G238" t="s">
        <v>1911</v>
      </c>
      <c r="H238" t="s">
        <v>1919</v>
      </c>
      <c r="I238" s="4">
        <v>383</v>
      </c>
      <c r="J238" s="3">
        <v>56</v>
      </c>
      <c r="K238" s="3">
        <f>Table1[[#This Row],[Quantity Sold]]*Table1[[#This Row],[Unit Price (INR)]]</f>
        <v>21448</v>
      </c>
      <c r="L238" t="s">
        <v>1921</v>
      </c>
    </row>
    <row r="239" spans="1:12" x14ac:dyDescent="0.35">
      <c r="A239" t="s">
        <v>248</v>
      </c>
      <c r="B239" s="5">
        <v>45745</v>
      </c>
      <c r="C239" t="s">
        <v>1212</v>
      </c>
      <c r="D239" t="s">
        <v>1233</v>
      </c>
      <c r="E239" t="s">
        <v>1452</v>
      </c>
      <c r="F239" t="s">
        <v>1906</v>
      </c>
      <c r="G239" t="s">
        <v>1910</v>
      </c>
      <c r="H239" t="s">
        <v>1915</v>
      </c>
      <c r="I239" s="4">
        <v>230</v>
      </c>
      <c r="J239" s="3">
        <v>332</v>
      </c>
      <c r="K239" s="3">
        <f>Table1[[#This Row],[Quantity Sold]]*Table1[[#This Row],[Unit Price (INR)]]</f>
        <v>76360</v>
      </c>
      <c r="L239" t="s">
        <v>1920</v>
      </c>
    </row>
    <row r="240" spans="1:12" x14ac:dyDescent="0.35">
      <c r="A240" t="s">
        <v>249</v>
      </c>
      <c r="B240" s="5">
        <v>45746</v>
      </c>
      <c r="C240" t="s">
        <v>1211</v>
      </c>
      <c r="D240" t="s">
        <v>1224</v>
      </c>
      <c r="E240" t="s">
        <v>1453</v>
      </c>
      <c r="F240" t="s">
        <v>1904</v>
      </c>
      <c r="G240" t="s">
        <v>1910</v>
      </c>
      <c r="H240" t="s">
        <v>1915</v>
      </c>
      <c r="I240" s="4">
        <v>365</v>
      </c>
      <c r="J240" s="3">
        <v>50</v>
      </c>
      <c r="K240" s="3">
        <f>Table1[[#This Row],[Quantity Sold]]*Table1[[#This Row],[Unit Price (INR)]]</f>
        <v>18250</v>
      </c>
      <c r="L240" t="s">
        <v>1921</v>
      </c>
    </row>
    <row r="241" spans="1:12" x14ac:dyDescent="0.35">
      <c r="A241" t="s">
        <v>250</v>
      </c>
      <c r="B241" s="5">
        <v>45747</v>
      </c>
      <c r="C241" t="s">
        <v>1214</v>
      </c>
      <c r="D241" t="s">
        <v>1228</v>
      </c>
      <c r="E241" t="s">
        <v>1454</v>
      </c>
      <c r="F241" t="s">
        <v>1905</v>
      </c>
      <c r="G241" t="s">
        <v>1911</v>
      </c>
      <c r="H241" t="s">
        <v>1912</v>
      </c>
      <c r="I241" s="4">
        <v>31</v>
      </c>
      <c r="J241" s="3">
        <v>268</v>
      </c>
      <c r="K241" s="3">
        <f>Table1[[#This Row],[Quantity Sold]]*Table1[[#This Row],[Unit Price (INR)]]</f>
        <v>8308</v>
      </c>
      <c r="L241" t="s">
        <v>1923</v>
      </c>
    </row>
    <row r="242" spans="1:12" x14ac:dyDescent="0.35">
      <c r="A242" t="s">
        <v>251</v>
      </c>
      <c r="B242" s="5">
        <v>45748</v>
      </c>
      <c r="C242" t="s">
        <v>1216</v>
      </c>
      <c r="D242" t="s">
        <v>1230</v>
      </c>
      <c r="E242" t="s">
        <v>1455</v>
      </c>
      <c r="F242" t="s">
        <v>1901</v>
      </c>
      <c r="G242" t="s">
        <v>1908</v>
      </c>
      <c r="H242" t="s">
        <v>1917</v>
      </c>
      <c r="I242" s="4">
        <v>189</v>
      </c>
      <c r="J242" s="3">
        <v>279</v>
      </c>
      <c r="K242" s="3">
        <f>Table1[[#This Row],[Quantity Sold]]*Table1[[#This Row],[Unit Price (INR)]]</f>
        <v>52731</v>
      </c>
      <c r="L242" t="s">
        <v>1921</v>
      </c>
    </row>
    <row r="243" spans="1:12" x14ac:dyDescent="0.35">
      <c r="A243" t="s">
        <v>252</v>
      </c>
      <c r="B243" s="5">
        <v>45749</v>
      </c>
      <c r="C243" t="s">
        <v>1217</v>
      </c>
      <c r="D243" t="s">
        <v>1235</v>
      </c>
      <c r="E243" t="s">
        <v>1456</v>
      </c>
      <c r="F243" t="s">
        <v>1898</v>
      </c>
      <c r="G243" t="s">
        <v>1909</v>
      </c>
      <c r="H243" t="s">
        <v>1917</v>
      </c>
      <c r="I243" s="4">
        <v>445</v>
      </c>
      <c r="J243" s="3">
        <v>221</v>
      </c>
      <c r="K243" s="3">
        <f>Table1[[#This Row],[Quantity Sold]]*Table1[[#This Row],[Unit Price (INR)]]</f>
        <v>98345</v>
      </c>
      <c r="L243" t="s">
        <v>1922</v>
      </c>
    </row>
    <row r="244" spans="1:12" x14ac:dyDescent="0.35">
      <c r="A244" t="s">
        <v>253</v>
      </c>
      <c r="B244" s="5">
        <v>45750</v>
      </c>
      <c r="C244" t="s">
        <v>1212</v>
      </c>
      <c r="D244" t="s">
        <v>1219</v>
      </c>
      <c r="E244" t="s">
        <v>1457</v>
      </c>
      <c r="F244" t="s">
        <v>1902</v>
      </c>
      <c r="G244" t="s">
        <v>1910</v>
      </c>
      <c r="H244" t="s">
        <v>1916</v>
      </c>
      <c r="I244" s="4">
        <v>376</v>
      </c>
      <c r="J244" s="3">
        <v>136</v>
      </c>
      <c r="K244" s="3">
        <f>Table1[[#This Row],[Quantity Sold]]*Table1[[#This Row],[Unit Price (INR)]]</f>
        <v>51136</v>
      </c>
      <c r="L244" t="s">
        <v>1920</v>
      </c>
    </row>
    <row r="245" spans="1:12" x14ac:dyDescent="0.35">
      <c r="A245" t="s">
        <v>254</v>
      </c>
      <c r="B245" s="5">
        <v>45751</v>
      </c>
      <c r="C245" t="s">
        <v>1217</v>
      </c>
      <c r="D245" t="s">
        <v>1246</v>
      </c>
      <c r="E245" t="s">
        <v>1414</v>
      </c>
      <c r="F245" t="s">
        <v>1897</v>
      </c>
      <c r="G245" t="s">
        <v>1909</v>
      </c>
      <c r="H245" t="s">
        <v>1919</v>
      </c>
      <c r="I245" s="4">
        <v>429</v>
      </c>
      <c r="J245" s="3">
        <v>90</v>
      </c>
      <c r="K245" s="3">
        <f>Table1[[#This Row],[Quantity Sold]]*Table1[[#This Row],[Unit Price (INR)]]</f>
        <v>38610</v>
      </c>
      <c r="L245" t="s">
        <v>1922</v>
      </c>
    </row>
    <row r="246" spans="1:12" x14ac:dyDescent="0.35">
      <c r="A246" t="s">
        <v>255</v>
      </c>
      <c r="B246" s="5">
        <v>45752</v>
      </c>
      <c r="C246" t="s">
        <v>1216</v>
      </c>
      <c r="D246" t="s">
        <v>1232</v>
      </c>
      <c r="E246" t="s">
        <v>1458</v>
      </c>
      <c r="F246" t="s">
        <v>1897</v>
      </c>
      <c r="G246" t="s">
        <v>1911</v>
      </c>
      <c r="H246" t="s">
        <v>1914</v>
      </c>
      <c r="I246" s="4">
        <v>338</v>
      </c>
      <c r="J246" s="3">
        <v>172</v>
      </c>
      <c r="K246" s="3">
        <f>Table1[[#This Row],[Quantity Sold]]*Table1[[#This Row],[Unit Price (INR)]]</f>
        <v>58136</v>
      </c>
      <c r="L246" t="s">
        <v>1920</v>
      </c>
    </row>
    <row r="247" spans="1:12" x14ac:dyDescent="0.35">
      <c r="A247" t="s">
        <v>256</v>
      </c>
      <c r="B247" s="5">
        <v>45753</v>
      </c>
      <c r="C247" t="s">
        <v>1217</v>
      </c>
      <c r="D247" t="s">
        <v>1238</v>
      </c>
      <c r="E247" t="s">
        <v>1459</v>
      </c>
      <c r="F247" t="s">
        <v>1903</v>
      </c>
      <c r="G247" t="s">
        <v>1908</v>
      </c>
      <c r="H247" t="s">
        <v>1919</v>
      </c>
      <c r="I247" s="4">
        <v>240</v>
      </c>
      <c r="J247" s="3">
        <v>380</v>
      </c>
      <c r="K247" s="3">
        <f>Table1[[#This Row],[Quantity Sold]]*Table1[[#This Row],[Unit Price (INR)]]</f>
        <v>91200</v>
      </c>
      <c r="L247" t="s">
        <v>1923</v>
      </c>
    </row>
    <row r="248" spans="1:12" x14ac:dyDescent="0.35">
      <c r="A248" t="s">
        <v>257</v>
      </c>
      <c r="B248" s="5">
        <v>45754</v>
      </c>
      <c r="C248" t="s">
        <v>1215</v>
      </c>
      <c r="D248" t="s">
        <v>1231</v>
      </c>
      <c r="E248" t="s">
        <v>1460</v>
      </c>
      <c r="F248" t="s">
        <v>1906</v>
      </c>
      <c r="G248" t="s">
        <v>1908</v>
      </c>
      <c r="H248" t="s">
        <v>1919</v>
      </c>
      <c r="I248" s="4">
        <v>412</v>
      </c>
      <c r="J248" s="3">
        <v>347</v>
      </c>
      <c r="K248" s="3">
        <f>Table1[[#This Row],[Quantity Sold]]*Table1[[#This Row],[Unit Price (INR)]]</f>
        <v>142964</v>
      </c>
      <c r="L248" t="s">
        <v>1920</v>
      </c>
    </row>
    <row r="249" spans="1:12" x14ac:dyDescent="0.35">
      <c r="A249" t="s">
        <v>258</v>
      </c>
      <c r="B249" s="5">
        <v>45755</v>
      </c>
      <c r="C249" t="s">
        <v>1212</v>
      </c>
      <c r="D249" t="s">
        <v>1240</v>
      </c>
      <c r="E249" t="s">
        <v>1461</v>
      </c>
      <c r="F249" t="s">
        <v>1903</v>
      </c>
      <c r="G249" t="s">
        <v>1908</v>
      </c>
      <c r="H249" t="s">
        <v>1917</v>
      </c>
      <c r="I249" s="4">
        <v>47</v>
      </c>
      <c r="J249" s="3">
        <v>422</v>
      </c>
      <c r="K249" s="3">
        <f>Table1[[#This Row],[Quantity Sold]]*Table1[[#This Row],[Unit Price (INR)]]</f>
        <v>19834</v>
      </c>
      <c r="L249" t="s">
        <v>1921</v>
      </c>
    </row>
    <row r="250" spans="1:12" x14ac:dyDescent="0.35">
      <c r="A250" t="s">
        <v>259</v>
      </c>
      <c r="B250" s="5">
        <v>45756</v>
      </c>
      <c r="C250" t="s">
        <v>1212</v>
      </c>
      <c r="D250" t="s">
        <v>1233</v>
      </c>
      <c r="E250" t="s">
        <v>1462</v>
      </c>
      <c r="F250" t="s">
        <v>1902</v>
      </c>
      <c r="G250" t="s">
        <v>1911</v>
      </c>
      <c r="H250" t="s">
        <v>1919</v>
      </c>
      <c r="I250" s="4">
        <v>79</v>
      </c>
      <c r="J250" s="3">
        <v>466</v>
      </c>
      <c r="K250" s="3">
        <f>Table1[[#This Row],[Quantity Sold]]*Table1[[#This Row],[Unit Price (INR)]]</f>
        <v>36814</v>
      </c>
      <c r="L250" t="s">
        <v>1921</v>
      </c>
    </row>
    <row r="251" spans="1:12" x14ac:dyDescent="0.35">
      <c r="A251" t="s">
        <v>260</v>
      </c>
      <c r="B251" s="5">
        <v>45757</v>
      </c>
      <c r="C251" t="s">
        <v>1216</v>
      </c>
      <c r="D251" t="s">
        <v>1239</v>
      </c>
      <c r="E251" t="s">
        <v>1463</v>
      </c>
      <c r="F251" t="s">
        <v>1899</v>
      </c>
      <c r="G251" t="s">
        <v>1907</v>
      </c>
      <c r="H251" t="s">
        <v>1913</v>
      </c>
      <c r="I251" s="4">
        <v>125</v>
      </c>
      <c r="J251" s="3">
        <v>227</v>
      </c>
      <c r="K251" s="3">
        <f>Table1[[#This Row],[Quantity Sold]]*Table1[[#This Row],[Unit Price (INR)]]</f>
        <v>28375</v>
      </c>
      <c r="L251" t="s">
        <v>1923</v>
      </c>
    </row>
    <row r="252" spans="1:12" x14ac:dyDescent="0.35">
      <c r="A252" t="s">
        <v>261</v>
      </c>
      <c r="B252" s="5">
        <v>45758</v>
      </c>
      <c r="C252" t="s">
        <v>1211</v>
      </c>
      <c r="D252" t="s">
        <v>1221</v>
      </c>
      <c r="E252" t="s">
        <v>1464</v>
      </c>
      <c r="F252" t="s">
        <v>1906</v>
      </c>
      <c r="G252" t="s">
        <v>1907</v>
      </c>
      <c r="H252" t="s">
        <v>1919</v>
      </c>
      <c r="I252" s="4">
        <v>248</v>
      </c>
      <c r="J252" s="3">
        <v>112</v>
      </c>
      <c r="K252" s="3">
        <f>Table1[[#This Row],[Quantity Sold]]*Table1[[#This Row],[Unit Price (INR)]]</f>
        <v>27776</v>
      </c>
      <c r="L252" t="s">
        <v>1920</v>
      </c>
    </row>
    <row r="253" spans="1:12" x14ac:dyDescent="0.35">
      <c r="A253" t="s">
        <v>262</v>
      </c>
      <c r="B253" s="5">
        <v>45759</v>
      </c>
      <c r="C253" t="s">
        <v>1215</v>
      </c>
      <c r="D253" t="s">
        <v>1242</v>
      </c>
      <c r="E253" t="s">
        <v>1465</v>
      </c>
      <c r="F253" t="s">
        <v>1900</v>
      </c>
      <c r="G253" t="s">
        <v>1909</v>
      </c>
      <c r="H253" t="s">
        <v>1913</v>
      </c>
      <c r="I253" s="4">
        <v>344</v>
      </c>
      <c r="J253" s="3">
        <v>214</v>
      </c>
      <c r="K253" s="3">
        <f>Table1[[#This Row],[Quantity Sold]]*Table1[[#This Row],[Unit Price (INR)]]</f>
        <v>73616</v>
      </c>
      <c r="L253" t="s">
        <v>1923</v>
      </c>
    </row>
    <row r="254" spans="1:12" x14ac:dyDescent="0.35">
      <c r="A254" t="s">
        <v>263</v>
      </c>
      <c r="B254" s="5">
        <v>45760</v>
      </c>
      <c r="C254" t="s">
        <v>1214</v>
      </c>
      <c r="D254" t="s">
        <v>1222</v>
      </c>
      <c r="E254" t="s">
        <v>1466</v>
      </c>
      <c r="F254" t="s">
        <v>1899</v>
      </c>
      <c r="G254" t="s">
        <v>1907</v>
      </c>
      <c r="H254" t="s">
        <v>1915</v>
      </c>
      <c r="I254" s="4">
        <v>450</v>
      </c>
      <c r="J254" s="3">
        <v>236</v>
      </c>
      <c r="K254" s="3">
        <f>Table1[[#This Row],[Quantity Sold]]*Table1[[#This Row],[Unit Price (INR)]]</f>
        <v>106200</v>
      </c>
      <c r="L254" t="s">
        <v>1921</v>
      </c>
    </row>
    <row r="255" spans="1:12" x14ac:dyDescent="0.35">
      <c r="A255" t="s">
        <v>264</v>
      </c>
      <c r="B255" s="5">
        <v>45761</v>
      </c>
      <c r="C255" t="s">
        <v>1217</v>
      </c>
      <c r="D255" t="s">
        <v>1237</v>
      </c>
      <c r="E255" t="s">
        <v>1467</v>
      </c>
      <c r="F255" t="s">
        <v>1906</v>
      </c>
      <c r="G255" t="s">
        <v>1907</v>
      </c>
      <c r="H255" t="s">
        <v>1914</v>
      </c>
      <c r="I255" s="4">
        <v>157</v>
      </c>
      <c r="J255" s="3">
        <v>432</v>
      </c>
      <c r="K255" s="3">
        <f>Table1[[#This Row],[Quantity Sold]]*Table1[[#This Row],[Unit Price (INR)]]</f>
        <v>67824</v>
      </c>
      <c r="L255" t="s">
        <v>1922</v>
      </c>
    </row>
    <row r="256" spans="1:12" x14ac:dyDescent="0.35">
      <c r="A256" t="s">
        <v>265</v>
      </c>
      <c r="B256" s="5">
        <v>45762</v>
      </c>
      <c r="C256" t="s">
        <v>1213</v>
      </c>
      <c r="D256" t="s">
        <v>1244</v>
      </c>
      <c r="E256" t="s">
        <v>1468</v>
      </c>
      <c r="F256" t="s">
        <v>1906</v>
      </c>
      <c r="G256" t="s">
        <v>1908</v>
      </c>
      <c r="H256" t="s">
        <v>1912</v>
      </c>
      <c r="I256" s="4">
        <v>18</v>
      </c>
      <c r="J256" s="3">
        <v>258</v>
      </c>
      <c r="K256" s="3">
        <f>Table1[[#This Row],[Quantity Sold]]*Table1[[#This Row],[Unit Price (INR)]]</f>
        <v>4644</v>
      </c>
      <c r="L256" t="s">
        <v>1923</v>
      </c>
    </row>
    <row r="257" spans="1:12" x14ac:dyDescent="0.35">
      <c r="A257" t="s">
        <v>266</v>
      </c>
      <c r="B257" s="5">
        <v>45763</v>
      </c>
      <c r="C257" t="s">
        <v>1217</v>
      </c>
      <c r="D257" t="s">
        <v>1237</v>
      </c>
      <c r="E257" t="s">
        <v>1469</v>
      </c>
      <c r="F257" t="s">
        <v>1902</v>
      </c>
      <c r="G257" t="s">
        <v>1908</v>
      </c>
      <c r="H257" t="s">
        <v>1917</v>
      </c>
      <c r="I257" s="4">
        <v>297</v>
      </c>
      <c r="J257" s="3">
        <v>276</v>
      </c>
      <c r="K257" s="3">
        <f>Table1[[#This Row],[Quantity Sold]]*Table1[[#This Row],[Unit Price (INR)]]</f>
        <v>81972</v>
      </c>
      <c r="L257" t="s">
        <v>1922</v>
      </c>
    </row>
    <row r="258" spans="1:12" x14ac:dyDescent="0.35">
      <c r="A258" t="s">
        <v>267</v>
      </c>
      <c r="B258" s="5">
        <v>45764</v>
      </c>
      <c r="C258" t="s">
        <v>1217</v>
      </c>
      <c r="D258" t="s">
        <v>1245</v>
      </c>
      <c r="E258" t="s">
        <v>1470</v>
      </c>
      <c r="F258" t="s">
        <v>1905</v>
      </c>
      <c r="G258" t="s">
        <v>1909</v>
      </c>
      <c r="H258" t="s">
        <v>1919</v>
      </c>
      <c r="I258" s="4">
        <v>397</v>
      </c>
      <c r="J258" s="3">
        <v>481</v>
      </c>
      <c r="K258" s="3">
        <f>Table1[[#This Row],[Quantity Sold]]*Table1[[#This Row],[Unit Price (INR)]]</f>
        <v>190957</v>
      </c>
      <c r="L258" t="s">
        <v>1922</v>
      </c>
    </row>
    <row r="259" spans="1:12" x14ac:dyDescent="0.35">
      <c r="A259" t="s">
        <v>268</v>
      </c>
      <c r="B259" s="5">
        <v>45765</v>
      </c>
      <c r="C259" t="s">
        <v>1214</v>
      </c>
      <c r="D259" t="s">
        <v>1226</v>
      </c>
      <c r="E259" t="s">
        <v>1471</v>
      </c>
      <c r="F259" t="s">
        <v>1902</v>
      </c>
      <c r="G259" t="s">
        <v>1910</v>
      </c>
      <c r="H259" t="s">
        <v>1913</v>
      </c>
      <c r="I259" s="4">
        <v>59</v>
      </c>
      <c r="J259" s="3">
        <v>438</v>
      </c>
      <c r="K259" s="3">
        <f>Table1[[#This Row],[Quantity Sold]]*Table1[[#This Row],[Unit Price (INR)]]</f>
        <v>25842</v>
      </c>
      <c r="L259" t="s">
        <v>1920</v>
      </c>
    </row>
    <row r="260" spans="1:12" x14ac:dyDescent="0.35">
      <c r="A260" t="s">
        <v>269</v>
      </c>
      <c r="B260" s="5">
        <v>45766</v>
      </c>
      <c r="C260" t="s">
        <v>1217</v>
      </c>
      <c r="D260" t="s">
        <v>1246</v>
      </c>
      <c r="E260" t="s">
        <v>1472</v>
      </c>
      <c r="F260" t="s">
        <v>1906</v>
      </c>
      <c r="G260" t="s">
        <v>1909</v>
      </c>
      <c r="H260" t="s">
        <v>1913</v>
      </c>
      <c r="I260" s="4">
        <v>347</v>
      </c>
      <c r="J260" s="3">
        <v>97</v>
      </c>
      <c r="K260" s="3">
        <f>Table1[[#This Row],[Quantity Sold]]*Table1[[#This Row],[Unit Price (INR)]]</f>
        <v>33659</v>
      </c>
      <c r="L260" t="s">
        <v>1923</v>
      </c>
    </row>
    <row r="261" spans="1:12" x14ac:dyDescent="0.35">
      <c r="A261" t="s">
        <v>270</v>
      </c>
      <c r="B261" s="5">
        <v>45767</v>
      </c>
      <c r="C261" t="s">
        <v>1215</v>
      </c>
      <c r="D261" t="s">
        <v>1225</v>
      </c>
      <c r="E261" t="s">
        <v>1473</v>
      </c>
      <c r="F261" t="s">
        <v>1898</v>
      </c>
      <c r="G261" t="s">
        <v>1909</v>
      </c>
      <c r="H261" t="s">
        <v>1915</v>
      </c>
      <c r="I261" s="4">
        <v>14</v>
      </c>
      <c r="J261" s="3">
        <v>273</v>
      </c>
      <c r="K261" s="3">
        <f>Table1[[#This Row],[Quantity Sold]]*Table1[[#This Row],[Unit Price (INR)]]</f>
        <v>3822</v>
      </c>
      <c r="L261" t="s">
        <v>1922</v>
      </c>
    </row>
    <row r="262" spans="1:12" x14ac:dyDescent="0.35">
      <c r="A262" t="s">
        <v>271</v>
      </c>
      <c r="B262" s="5">
        <v>45768</v>
      </c>
      <c r="C262" t="s">
        <v>1215</v>
      </c>
      <c r="D262" t="s">
        <v>1243</v>
      </c>
      <c r="E262" t="s">
        <v>1474</v>
      </c>
      <c r="F262" t="s">
        <v>1899</v>
      </c>
      <c r="G262" t="s">
        <v>1911</v>
      </c>
      <c r="H262" t="s">
        <v>1913</v>
      </c>
      <c r="I262" s="4">
        <v>413</v>
      </c>
      <c r="J262" s="3">
        <v>52</v>
      </c>
      <c r="K262" s="3">
        <f>Table1[[#This Row],[Quantity Sold]]*Table1[[#This Row],[Unit Price (INR)]]</f>
        <v>21476</v>
      </c>
      <c r="L262" t="s">
        <v>1922</v>
      </c>
    </row>
    <row r="263" spans="1:12" x14ac:dyDescent="0.35">
      <c r="A263" t="s">
        <v>272</v>
      </c>
      <c r="B263" s="5">
        <v>45769</v>
      </c>
      <c r="C263" t="s">
        <v>1212</v>
      </c>
      <c r="D263" t="s">
        <v>1233</v>
      </c>
      <c r="E263" t="s">
        <v>1475</v>
      </c>
      <c r="F263" t="s">
        <v>1902</v>
      </c>
      <c r="G263" t="s">
        <v>1911</v>
      </c>
      <c r="H263" t="s">
        <v>1912</v>
      </c>
      <c r="I263" s="4">
        <v>352</v>
      </c>
      <c r="J263" s="3">
        <v>421</v>
      </c>
      <c r="K263" s="3">
        <f>Table1[[#This Row],[Quantity Sold]]*Table1[[#This Row],[Unit Price (INR)]]</f>
        <v>148192</v>
      </c>
      <c r="L263" t="s">
        <v>1920</v>
      </c>
    </row>
    <row r="264" spans="1:12" x14ac:dyDescent="0.35">
      <c r="A264" t="s">
        <v>273</v>
      </c>
      <c r="B264" s="5">
        <v>45770</v>
      </c>
      <c r="C264" t="s">
        <v>1216</v>
      </c>
      <c r="D264" t="s">
        <v>1230</v>
      </c>
      <c r="E264" t="s">
        <v>1429</v>
      </c>
      <c r="F264" t="s">
        <v>1905</v>
      </c>
      <c r="G264" t="s">
        <v>1909</v>
      </c>
      <c r="H264" t="s">
        <v>1918</v>
      </c>
      <c r="I264" s="4">
        <v>135</v>
      </c>
      <c r="J264" s="3">
        <v>224</v>
      </c>
      <c r="K264" s="3">
        <f>Table1[[#This Row],[Quantity Sold]]*Table1[[#This Row],[Unit Price (INR)]]</f>
        <v>30240</v>
      </c>
      <c r="L264" t="s">
        <v>1920</v>
      </c>
    </row>
    <row r="265" spans="1:12" x14ac:dyDescent="0.35">
      <c r="A265" t="s">
        <v>274</v>
      </c>
      <c r="B265" s="5">
        <v>45771</v>
      </c>
      <c r="C265" t="s">
        <v>1211</v>
      </c>
      <c r="D265" t="s">
        <v>1218</v>
      </c>
      <c r="E265" t="s">
        <v>1476</v>
      </c>
      <c r="F265" t="s">
        <v>1901</v>
      </c>
      <c r="G265" t="s">
        <v>1909</v>
      </c>
      <c r="H265" t="s">
        <v>1916</v>
      </c>
      <c r="I265" s="4">
        <v>84</v>
      </c>
      <c r="J265" s="3">
        <v>495</v>
      </c>
      <c r="K265" s="3">
        <f>Table1[[#This Row],[Quantity Sold]]*Table1[[#This Row],[Unit Price (INR)]]</f>
        <v>41580</v>
      </c>
      <c r="L265" t="s">
        <v>1921</v>
      </c>
    </row>
    <row r="266" spans="1:12" x14ac:dyDescent="0.35">
      <c r="A266" t="s">
        <v>275</v>
      </c>
      <c r="B266" s="5">
        <v>45772</v>
      </c>
      <c r="C266" t="s">
        <v>1213</v>
      </c>
      <c r="D266" t="s">
        <v>1223</v>
      </c>
      <c r="E266" t="s">
        <v>1477</v>
      </c>
      <c r="F266" t="s">
        <v>1903</v>
      </c>
      <c r="G266" t="s">
        <v>1909</v>
      </c>
      <c r="H266" t="s">
        <v>1912</v>
      </c>
      <c r="I266" s="4">
        <v>174</v>
      </c>
      <c r="J266" s="3">
        <v>148</v>
      </c>
      <c r="K266" s="3">
        <f>Table1[[#This Row],[Quantity Sold]]*Table1[[#This Row],[Unit Price (INR)]]</f>
        <v>25752</v>
      </c>
      <c r="L266" t="s">
        <v>1922</v>
      </c>
    </row>
    <row r="267" spans="1:12" x14ac:dyDescent="0.35">
      <c r="A267" t="s">
        <v>276</v>
      </c>
      <c r="B267" s="5">
        <v>45773</v>
      </c>
      <c r="C267" t="s">
        <v>1217</v>
      </c>
      <c r="D267" t="s">
        <v>1238</v>
      </c>
      <c r="E267" t="s">
        <v>1478</v>
      </c>
      <c r="F267" t="s">
        <v>1906</v>
      </c>
      <c r="G267" t="s">
        <v>1907</v>
      </c>
      <c r="H267" t="s">
        <v>1914</v>
      </c>
      <c r="I267" s="4">
        <v>287</v>
      </c>
      <c r="J267" s="3">
        <v>165</v>
      </c>
      <c r="K267" s="3">
        <f>Table1[[#This Row],[Quantity Sold]]*Table1[[#This Row],[Unit Price (INR)]]</f>
        <v>47355</v>
      </c>
      <c r="L267" t="s">
        <v>1921</v>
      </c>
    </row>
    <row r="268" spans="1:12" x14ac:dyDescent="0.35">
      <c r="A268" t="s">
        <v>277</v>
      </c>
      <c r="B268" s="5">
        <v>45774</v>
      </c>
      <c r="C268" t="s">
        <v>1217</v>
      </c>
      <c r="D268" t="s">
        <v>1245</v>
      </c>
      <c r="E268" t="s">
        <v>1368</v>
      </c>
      <c r="F268" t="s">
        <v>1900</v>
      </c>
      <c r="G268" t="s">
        <v>1911</v>
      </c>
      <c r="H268" t="s">
        <v>1912</v>
      </c>
      <c r="I268" s="4">
        <v>451</v>
      </c>
      <c r="J268" s="3">
        <v>319</v>
      </c>
      <c r="K268" s="3">
        <f>Table1[[#This Row],[Quantity Sold]]*Table1[[#This Row],[Unit Price (INR)]]</f>
        <v>143869</v>
      </c>
      <c r="L268" t="s">
        <v>1922</v>
      </c>
    </row>
    <row r="269" spans="1:12" x14ac:dyDescent="0.35">
      <c r="A269" t="s">
        <v>278</v>
      </c>
      <c r="B269" s="5">
        <v>45775</v>
      </c>
      <c r="C269" t="s">
        <v>1214</v>
      </c>
      <c r="D269" t="s">
        <v>1227</v>
      </c>
      <c r="E269" t="s">
        <v>1479</v>
      </c>
      <c r="F269" t="s">
        <v>1901</v>
      </c>
      <c r="G269" t="s">
        <v>1909</v>
      </c>
      <c r="H269" t="s">
        <v>1915</v>
      </c>
      <c r="I269" s="4">
        <v>333</v>
      </c>
      <c r="J269" s="3">
        <v>496</v>
      </c>
      <c r="K269" s="3">
        <f>Table1[[#This Row],[Quantity Sold]]*Table1[[#This Row],[Unit Price (INR)]]</f>
        <v>165168</v>
      </c>
      <c r="L269" t="s">
        <v>1921</v>
      </c>
    </row>
    <row r="270" spans="1:12" x14ac:dyDescent="0.35">
      <c r="A270" t="s">
        <v>279</v>
      </c>
      <c r="B270" s="5">
        <v>45776</v>
      </c>
      <c r="C270" t="s">
        <v>1216</v>
      </c>
      <c r="D270" t="s">
        <v>1239</v>
      </c>
      <c r="E270" t="s">
        <v>1480</v>
      </c>
      <c r="F270" t="s">
        <v>1897</v>
      </c>
      <c r="G270" t="s">
        <v>1908</v>
      </c>
      <c r="H270" t="s">
        <v>1915</v>
      </c>
      <c r="I270" s="4">
        <v>486</v>
      </c>
      <c r="J270" s="3">
        <v>417</v>
      </c>
      <c r="K270" s="3">
        <f>Table1[[#This Row],[Quantity Sold]]*Table1[[#This Row],[Unit Price (INR)]]</f>
        <v>202662</v>
      </c>
      <c r="L270" t="s">
        <v>1920</v>
      </c>
    </row>
    <row r="271" spans="1:12" x14ac:dyDescent="0.35">
      <c r="A271" t="s">
        <v>280</v>
      </c>
      <c r="B271" s="5">
        <v>45777</v>
      </c>
      <c r="C271" t="s">
        <v>1215</v>
      </c>
      <c r="D271" t="s">
        <v>1243</v>
      </c>
      <c r="E271" t="s">
        <v>1481</v>
      </c>
      <c r="F271" t="s">
        <v>1904</v>
      </c>
      <c r="G271" t="s">
        <v>1908</v>
      </c>
      <c r="H271" t="s">
        <v>1912</v>
      </c>
      <c r="I271" s="4">
        <v>309</v>
      </c>
      <c r="J271" s="3">
        <v>302</v>
      </c>
      <c r="K271" s="3">
        <f>Table1[[#This Row],[Quantity Sold]]*Table1[[#This Row],[Unit Price (INR)]]</f>
        <v>93318</v>
      </c>
      <c r="L271" t="s">
        <v>1923</v>
      </c>
    </row>
    <row r="272" spans="1:12" x14ac:dyDescent="0.35">
      <c r="A272" t="s">
        <v>281</v>
      </c>
      <c r="B272" s="5">
        <v>45778</v>
      </c>
      <c r="C272" t="s">
        <v>1213</v>
      </c>
      <c r="D272" t="s">
        <v>1244</v>
      </c>
      <c r="E272" t="s">
        <v>1482</v>
      </c>
      <c r="F272" t="s">
        <v>1905</v>
      </c>
      <c r="G272" t="s">
        <v>1907</v>
      </c>
      <c r="H272" t="s">
        <v>1919</v>
      </c>
      <c r="I272" s="4">
        <v>299</v>
      </c>
      <c r="J272" s="3">
        <v>366</v>
      </c>
      <c r="K272" s="3">
        <f>Table1[[#This Row],[Quantity Sold]]*Table1[[#This Row],[Unit Price (INR)]]</f>
        <v>109434</v>
      </c>
      <c r="L272" t="s">
        <v>1920</v>
      </c>
    </row>
    <row r="273" spans="1:12" x14ac:dyDescent="0.35">
      <c r="A273" t="s">
        <v>282</v>
      </c>
      <c r="B273" s="5">
        <v>45779</v>
      </c>
      <c r="C273" t="s">
        <v>1212</v>
      </c>
      <c r="D273" t="s">
        <v>1233</v>
      </c>
      <c r="E273" t="s">
        <v>1483</v>
      </c>
      <c r="F273" t="s">
        <v>1900</v>
      </c>
      <c r="G273" t="s">
        <v>1907</v>
      </c>
      <c r="H273" t="s">
        <v>1918</v>
      </c>
      <c r="I273" s="4">
        <v>86</v>
      </c>
      <c r="J273" s="3">
        <v>464</v>
      </c>
      <c r="K273" s="3">
        <f>Table1[[#This Row],[Quantity Sold]]*Table1[[#This Row],[Unit Price (INR)]]</f>
        <v>39904</v>
      </c>
      <c r="L273" t="s">
        <v>1921</v>
      </c>
    </row>
    <row r="274" spans="1:12" x14ac:dyDescent="0.35">
      <c r="A274" t="s">
        <v>283</v>
      </c>
      <c r="B274" s="5">
        <v>45780</v>
      </c>
      <c r="C274" t="s">
        <v>1215</v>
      </c>
      <c r="D274" t="s">
        <v>1242</v>
      </c>
      <c r="E274" t="s">
        <v>1484</v>
      </c>
      <c r="F274" t="s">
        <v>1904</v>
      </c>
      <c r="G274" t="s">
        <v>1910</v>
      </c>
      <c r="H274" t="s">
        <v>1919</v>
      </c>
      <c r="I274" s="4">
        <v>307</v>
      </c>
      <c r="J274" s="3">
        <v>144</v>
      </c>
      <c r="K274" s="3">
        <f>Table1[[#This Row],[Quantity Sold]]*Table1[[#This Row],[Unit Price (INR)]]</f>
        <v>44208</v>
      </c>
      <c r="L274" t="s">
        <v>1921</v>
      </c>
    </row>
    <row r="275" spans="1:12" x14ac:dyDescent="0.35">
      <c r="A275" t="s">
        <v>284</v>
      </c>
      <c r="B275" s="5">
        <v>45781</v>
      </c>
      <c r="C275" t="s">
        <v>1216</v>
      </c>
      <c r="D275" t="s">
        <v>1232</v>
      </c>
      <c r="E275" t="s">
        <v>1485</v>
      </c>
      <c r="F275" t="s">
        <v>1905</v>
      </c>
      <c r="G275" t="s">
        <v>1910</v>
      </c>
      <c r="H275" t="s">
        <v>1919</v>
      </c>
      <c r="I275" s="4">
        <v>146</v>
      </c>
      <c r="J275" s="3">
        <v>322</v>
      </c>
      <c r="K275" s="3">
        <f>Table1[[#This Row],[Quantity Sold]]*Table1[[#This Row],[Unit Price (INR)]]</f>
        <v>47012</v>
      </c>
      <c r="L275" t="s">
        <v>1923</v>
      </c>
    </row>
    <row r="276" spans="1:12" x14ac:dyDescent="0.35">
      <c r="A276" t="s">
        <v>285</v>
      </c>
      <c r="B276" s="5">
        <v>45782</v>
      </c>
      <c r="C276" t="s">
        <v>1211</v>
      </c>
      <c r="D276" t="s">
        <v>1224</v>
      </c>
      <c r="E276" t="s">
        <v>1486</v>
      </c>
      <c r="F276" t="s">
        <v>1898</v>
      </c>
      <c r="G276" t="s">
        <v>1910</v>
      </c>
      <c r="H276" t="s">
        <v>1912</v>
      </c>
      <c r="I276" s="4">
        <v>115</v>
      </c>
      <c r="J276" s="3">
        <v>429</v>
      </c>
      <c r="K276" s="3">
        <f>Table1[[#This Row],[Quantity Sold]]*Table1[[#This Row],[Unit Price (INR)]]</f>
        <v>49335</v>
      </c>
      <c r="L276" t="s">
        <v>1922</v>
      </c>
    </row>
    <row r="277" spans="1:12" x14ac:dyDescent="0.35">
      <c r="A277" t="s">
        <v>286</v>
      </c>
      <c r="B277" s="5">
        <v>45783</v>
      </c>
      <c r="C277" t="s">
        <v>1212</v>
      </c>
      <c r="D277" t="s">
        <v>1229</v>
      </c>
      <c r="E277" t="s">
        <v>1487</v>
      </c>
      <c r="F277" t="s">
        <v>1903</v>
      </c>
      <c r="G277" t="s">
        <v>1907</v>
      </c>
      <c r="H277" t="s">
        <v>1917</v>
      </c>
      <c r="I277" s="4">
        <v>104</v>
      </c>
      <c r="J277" s="3">
        <v>73</v>
      </c>
      <c r="K277" s="3">
        <f>Table1[[#This Row],[Quantity Sold]]*Table1[[#This Row],[Unit Price (INR)]]</f>
        <v>7592</v>
      </c>
      <c r="L277" t="s">
        <v>1921</v>
      </c>
    </row>
    <row r="278" spans="1:12" x14ac:dyDescent="0.35">
      <c r="A278" t="s">
        <v>287</v>
      </c>
      <c r="B278" s="5">
        <v>45784</v>
      </c>
      <c r="C278" t="s">
        <v>1211</v>
      </c>
      <c r="D278" t="s">
        <v>1218</v>
      </c>
      <c r="E278" t="s">
        <v>1274</v>
      </c>
      <c r="F278" t="s">
        <v>1901</v>
      </c>
      <c r="G278" t="s">
        <v>1907</v>
      </c>
      <c r="H278" t="s">
        <v>1917</v>
      </c>
      <c r="I278" s="4">
        <v>144</v>
      </c>
      <c r="J278" s="3">
        <v>165</v>
      </c>
      <c r="K278" s="3">
        <f>Table1[[#This Row],[Quantity Sold]]*Table1[[#This Row],[Unit Price (INR)]]</f>
        <v>23760</v>
      </c>
      <c r="L278" t="s">
        <v>1921</v>
      </c>
    </row>
    <row r="279" spans="1:12" x14ac:dyDescent="0.35">
      <c r="A279" t="s">
        <v>288</v>
      </c>
      <c r="B279" s="5">
        <v>45785</v>
      </c>
      <c r="C279" t="s">
        <v>1214</v>
      </c>
      <c r="D279" t="s">
        <v>1226</v>
      </c>
      <c r="E279" t="s">
        <v>1335</v>
      </c>
      <c r="F279" t="s">
        <v>1899</v>
      </c>
      <c r="G279" t="s">
        <v>1907</v>
      </c>
      <c r="H279" t="s">
        <v>1917</v>
      </c>
      <c r="I279" s="4">
        <v>77</v>
      </c>
      <c r="J279" s="3">
        <v>200</v>
      </c>
      <c r="K279" s="3">
        <f>Table1[[#This Row],[Quantity Sold]]*Table1[[#This Row],[Unit Price (INR)]]</f>
        <v>15400</v>
      </c>
      <c r="L279" t="s">
        <v>1921</v>
      </c>
    </row>
    <row r="280" spans="1:12" x14ac:dyDescent="0.35">
      <c r="A280" t="s">
        <v>289</v>
      </c>
      <c r="B280" s="5">
        <v>45786</v>
      </c>
      <c r="C280" t="s">
        <v>1214</v>
      </c>
      <c r="D280" t="s">
        <v>1226</v>
      </c>
      <c r="E280" t="s">
        <v>1488</v>
      </c>
      <c r="F280" t="s">
        <v>1905</v>
      </c>
      <c r="G280" t="s">
        <v>1908</v>
      </c>
      <c r="H280" t="s">
        <v>1918</v>
      </c>
      <c r="I280" s="4">
        <v>156</v>
      </c>
      <c r="J280" s="3">
        <v>387</v>
      </c>
      <c r="K280" s="3">
        <f>Table1[[#This Row],[Quantity Sold]]*Table1[[#This Row],[Unit Price (INR)]]</f>
        <v>60372</v>
      </c>
      <c r="L280" t="s">
        <v>1923</v>
      </c>
    </row>
    <row r="281" spans="1:12" x14ac:dyDescent="0.35">
      <c r="A281" t="s">
        <v>290</v>
      </c>
      <c r="B281" s="5">
        <v>45787</v>
      </c>
      <c r="C281" t="s">
        <v>1217</v>
      </c>
      <c r="D281" t="s">
        <v>1245</v>
      </c>
      <c r="E281" t="s">
        <v>1489</v>
      </c>
      <c r="F281" t="s">
        <v>1899</v>
      </c>
      <c r="G281" t="s">
        <v>1907</v>
      </c>
      <c r="H281" t="s">
        <v>1919</v>
      </c>
      <c r="I281" s="4">
        <v>499</v>
      </c>
      <c r="J281" s="3">
        <v>99</v>
      </c>
      <c r="K281" s="3">
        <f>Table1[[#This Row],[Quantity Sold]]*Table1[[#This Row],[Unit Price (INR)]]</f>
        <v>49401</v>
      </c>
      <c r="L281" t="s">
        <v>1920</v>
      </c>
    </row>
    <row r="282" spans="1:12" x14ac:dyDescent="0.35">
      <c r="A282" t="s">
        <v>291</v>
      </c>
      <c r="B282" s="5">
        <v>45788</v>
      </c>
      <c r="C282" t="s">
        <v>1211</v>
      </c>
      <c r="D282" t="s">
        <v>1221</v>
      </c>
      <c r="E282" t="s">
        <v>1490</v>
      </c>
      <c r="F282" t="s">
        <v>1903</v>
      </c>
      <c r="G282" t="s">
        <v>1908</v>
      </c>
      <c r="H282" t="s">
        <v>1916</v>
      </c>
      <c r="I282" s="4">
        <v>487</v>
      </c>
      <c r="J282" s="3">
        <v>255</v>
      </c>
      <c r="K282" s="3">
        <f>Table1[[#This Row],[Quantity Sold]]*Table1[[#This Row],[Unit Price (INR)]]</f>
        <v>124185</v>
      </c>
      <c r="L282" t="s">
        <v>1921</v>
      </c>
    </row>
    <row r="283" spans="1:12" x14ac:dyDescent="0.35">
      <c r="A283" t="s">
        <v>292</v>
      </c>
      <c r="B283" s="5">
        <v>45789</v>
      </c>
      <c r="C283" t="s">
        <v>1216</v>
      </c>
      <c r="D283" t="s">
        <v>1241</v>
      </c>
      <c r="E283" t="s">
        <v>1491</v>
      </c>
      <c r="F283" t="s">
        <v>1906</v>
      </c>
      <c r="G283" t="s">
        <v>1910</v>
      </c>
      <c r="H283" t="s">
        <v>1914</v>
      </c>
      <c r="I283" s="4">
        <v>168</v>
      </c>
      <c r="J283" s="3">
        <v>384</v>
      </c>
      <c r="K283" s="3">
        <f>Table1[[#This Row],[Quantity Sold]]*Table1[[#This Row],[Unit Price (INR)]]</f>
        <v>64512</v>
      </c>
      <c r="L283" t="s">
        <v>1923</v>
      </c>
    </row>
    <row r="284" spans="1:12" x14ac:dyDescent="0.35">
      <c r="A284" t="s">
        <v>293</v>
      </c>
      <c r="B284" s="5">
        <v>45790</v>
      </c>
      <c r="C284" t="s">
        <v>1213</v>
      </c>
      <c r="D284" t="s">
        <v>1244</v>
      </c>
      <c r="E284" t="s">
        <v>1492</v>
      </c>
      <c r="F284" t="s">
        <v>1897</v>
      </c>
      <c r="G284" t="s">
        <v>1910</v>
      </c>
      <c r="H284" t="s">
        <v>1917</v>
      </c>
      <c r="I284" s="4">
        <v>393</v>
      </c>
      <c r="J284" s="3">
        <v>128</v>
      </c>
      <c r="K284" s="3">
        <f>Table1[[#This Row],[Quantity Sold]]*Table1[[#This Row],[Unit Price (INR)]]</f>
        <v>50304</v>
      </c>
      <c r="L284" t="s">
        <v>1921</v>
      </c>
    </row>
    <row r="285" spans="1:12" x14ac:dyDescent="0.35">
      <c r="A285" t="s">
        <v>294</v>
      </c>
      <c r="B285" s="5">
        <v>45791</v>
      </c>
      <c r="C285" t="s">
        <v>1212</v>
      </c>
      <c r="D285" t="s">
        <v>1240</v>
      </c>
      <c r="E285" t="s">
        <v>1493</v>
      </c>
      <c r="F285" t="s">
        <v>1901</v>
      </c>
      <c r="G285" t="s">
        <v>1910</v>
      </c>
      <c r="H285" t="s">
        <v>1917</v>
      </c>
      <c r="I285" s="4">
        <v>172</v>
      </c>
      <c r="J285" s="3">
        <v>119</v>
      </c>
      <c r="K285" s="3">
        <f>Table1[[#This Row],[Quantity Sold]]*Table1[[#This Row],[Unit Price (INR)]]</f>
        <v>20468</v>
      </c>
      <c r="L285" t="s">
        <v>1922</v>
      </c>
    </row>
    <row r="286" spans="1:12" x14ac:dyDescent="0.35">
      <c r="A286" t="s">
        <v>295</v>
      </c>
      <c r="B286" s="5">
        <v>45792</v>
      </c>
      <c r="C286" t="s">
        <v>1215</v>
      </c>
      <c r="D286" t="s">
        <v>1242</v>
      </c>
      <c r="E286" t="s">
        <v>1267</v>
      </c>
      <c r="F286" t="s">
        <v>1903</v>
      </c>
      <c r="G286" t="s">
        <v>1909</v>
      </c>
      <c r="H286" t="s">
        <v>1915</v>
      </c>
      <c r="I286" s="4">
        <v>450</v>
      </c>
      <c r="J286" s="3">
        <v>76</v>
      </c>
      <c r="K286" s="3">
        <f>Table1[[#This Row],[Quantity Sold]]*Table1[[#This Row],[Unit Price (INR)]]</f>
        <v>34200</v>
      </c>
      <c r="L286" t="s">
        <v>1923</v>
      </c>
    </row>
    <row r="287" spans="1:12" x14ac:dyDescent="0.35">
      <c r="A287" t="s">
        <v>296</v>
      </c>
      <c r="B287" s="5">
        <v>45793</v>
      </c>
      <c r="C287" t="s">
        <v>1216</v>
      </c>
      <c r="D287" t="s">
        <v>1241</v>
      </c>
      <c r="E287" t="s">
        <v>1494</v>
      </c>
      <c r="F287" t="s">
        <v>1903</v>
      </c>
      <c r="G287" t="s">
        <v>1909</v>
      </c>
      <c r="H287" t="s">
        <v>1919</v>
      </c>
      <c r="I287" s="4">
        <v>350</v>
      </c>
      <c r="J287" s="3">
        <v>320</v>
      </c>
      <c r="K287" s="3">
        <f>Table1[[#This Row],[Quantity Sold]]*Table1[[#This Row],[Unit Price (INR)]]</f>
        <v>112000</v>
      </c>
      <c r="L287" t="s">
        <v>1921</v>
      </c>
    </row>
    <row r="288" spans="1:12" x14ac:dyDescent="0.35">
      <c r="A288" t="s">
        <v>297</v>
      </c>
      <c r="B288" s="5">
        <v>45794</v>
      </c>
      <c r="C288" t="s">
        <v>1216</v>
      </c>
      <c r="D288" t="s">
        <v>1239</v>
      </c>
      <c r="E288" t="s">
        <v>1495</v>
      </c>
      <c r="F288" t="s">
        <v>1898</v>
      </c>
      <c r="G288" t="s">
        <v>1911</v>
      </c>
      <c r="H288" t="s">
        <v>1919</v>
      </c>
      <c r="I288" s="4">
        <v>198</v>
      </c>
      <c r="J288" s="3">
        <v>99</v>
      </c>
      <c r="K288" s="3">
        <f>Table1[[#This Row],[Quantity Sold]]*Table1[[#This Row],[Unit Price (INR)]]</f>
        <v>19602</v>
      </c>
      <c r="L288" t="s">
        <v>1923</v>
      </c>
    </row>
    <row r="289" spans="1:12" x14ac:dyDescent="0.35">
      <c r="A289" t="s">
        <v>298</v>
      </c>
      <c r="B289" s="5">
        <v>45795</v>
      </c>
      <c r="C289" t="s">
        <v>1214</v>
      </c>
      <c r="D289" t="s">
        <v>1222</v>
      </c>
      <c r="E289" t="s">
        <v>1391</v>
      </c>
      <c r="F289" t="s">
        <v>1904</v>
      </c>
      <c r="G289" t="s">
        <v>1911</v>
      </c>
      <c r="H289" t="s">
        <v>1918</v>
      </c>
      <c r="I289" s="4">
        <v>424</v>
      </c>
      <c r="J289" s="3">
        <v>341</v>
      </c>
      <c r="K289" s="3">
        <f>Table1[[#This Row],[Quantity Sold]]*Table1[[#This Row],[Unit Price (INR)]]</f>
        <v>144584</v>
      </c>
      <c r="L289" t="s">
        <v>1921</v>
      </c>
    </row>
    <row r="290" spans="1:12" x14ac:dyDescent="0.35">
      <c r="A290" t="s">
        <v>299</v>
      </c>
      <c r="B290" s="5">
        <v>45796</v>
      </c>
      <c r="C290" t="s">
        <v>1211</v>
      </c>
      <c r="D290" t="s">
        <v>1224</v>
      </c>
      <c r="E290" t="s">
        <v>1496</v>
      </c>
      <c r="F290" t="s">
        <v>1897</v>
      </c>
      <c r="G290" t="s">
        <v>1911</v>
      </c>
      <c r="H290" t="s">
        <v>1918</v>
      </c>
      <c r="I290" s="4">
        <v>348</v>
      </c>
      <c r="J290" s="3">
        <v>296</v>
      </c>
      <c r="K290" s="3">
        <f>Table1[[#This Row],[Quantity Sold]]*Table1[[#This Row],[Unit Price (INR)]]</f>
        <v>103008</v>
      </c>
      <c r="L290" t="s">
        <v>1920</v>
      </c>
    </row>
    <row r="291" spans="1:12" x14ac:dyDescent="0.35">
      <c r="A291" t="s">
        <v>300</v>
      </c>
      <c r="B291" s="5">
        <v>45797</v>
      </c>
      <c r="C291" t="s">
        <v>1217</v>
      </c>
      <c r="D291" t="s">
        <v>1237</v>
      </c>
      <c r="E291" t="s">
        <v>1361</v>
      </c>
      <c r="F291" t="s">
        <v>1901</v>
      </c>
      <c r="G291" t="s">
        <v>1909</v>
      </c>
      <c r="H291" t="s">
        <v>1917</v>
      </c>
      <c r="I291" s="4">
        <v>104</v>
      </c>
      <c r="J291" s="3">
        <v>313</v>
      </c>
      <c r="K291" s="3">
        <f>Table1[[#This Row],[Quantity Sold]]*Table1[[#This Row],[Unit Price (INR)]]</f>
        <v>32552</v>
      </c>
      <c r="L291" t="s">
        <v>1921</v>
      </c>
    </row>
    <row r="292" spans="1:12" x14ac:dyDescent="0.35">
      <c r="A292" t="s">
        <v>301</v>
      </c>
      <c r="B292" s="5">
        <v>45798</v>
      </c>
      <c r="C292" t="s">
        <v>1217</v>
      </c>
      <c r="D292" t="s">
        <v>1237</v>
      </c>
      <c r="E292" t="s">
        <v>1497</v>
      </c>
      <c r="F292" t="s">
        <v>1906</v>
      </c>
      <c r="G292" t="s">
        <v>1909</v>
      </c>
      <c r="H292" t="s">
        <v>1919</v>
      </c>
      <c r="I292" s="4">
        <v>190</v>
      </c>
      <c r="J292" s="3">
        <v>128</v>
      </c>
      <c r="K292" s="3">
        <f>Table1[[#This Row],[Quantity Sold]]*Table1[[#This Row],[Unit Price (INR)]]</f>
        <v>24320</v>
      </c>
      <c r="L292" t="s">
        <v>1923</v>
      </c>
    </row>
    <row r="293" spans="1:12" x14ac:dyDescent="0.35">
      <c r="A293" t="s">
        <v>302</v>
      </c>
      <c r="B293" s="5">
        <v>45799</v>
      </c>
      <c r="C293" t="s">
        <v>1212</v>
      </c>
      <c r="D293" t="s">
        <v>1229</v>
      </c>
      <c r="E293" t="s">
        <v>1498</v>
      </c>
      <c r="F293" t="s">
        <v>1906</v>
      </c>
      <c r="G293" t="s">
        <v>1911</v>
      </c>
      <c r="H293" t="s">
        <v>1916</v>
      </c>
      <c r="I293" s="4">
        <v>297</v>
      </c>
      <c r="J293" s="3">
        <v>436</v>
      </c>
      <c r="K293" s="3">
        <f>Table1[[#This Row],[Quantity Sold]]*Table1[[#This Row],[Unit Price (INR)]]</f>
        <v>129492</v>
      </c>
      <c r="L293" t="s">
        <v>1922</v>
      </c>
    </row>
    <row r="294" spans="1:12" x14ac:dyDescent="0.35">
      <c r="A294" t="s">
        <v>303</v>
      </c>
      <c r="B294" s="5">
        <v>45800</v>
      </c>
      <c r="C294" t="s">
        <v>1214</v>
      </c>
      <c r="D294" t="s">
        <v>1227</v>
      </c>
      <c r="E294" t="s">
        <v>1499</v>
      </c>
      <c r="F294" t="s">
        <v>1902</v>
      </c>
      <c r="G294" t="s">
        <v>1911</v>
      </c>
      <c r="H294" t="s">
        <v>1914</v>
      </c>
      <c r="I294" s="4">
        <v>331</v>
      </c>
      <c r="J294" s="3">
        <v>239</v>
      </c>
      <c r="K294" s="3">
        <f>Table1[[#This Row],[Quantity Sold]]*Table1[[#This Row],[Unit Price (INR)]]</f>
        <v>79109</v>
      </c>
      <c r="L294" t="s">
        <v>1922</v>
      </c>
    </row>
    <row r="295" spans="1:12" x14ac:dyDescent="0.35">
      <c r="A295" t="s">
        <v>304</v>
      </c>
      <c r="B295" s="5">
        <v>45801</v>
      </c>
      <c r="C295" t="s">
        <v>1216</v>
      </c>
      <c r="D295" t="s">
        <v>1239</v>
      </c>
      <c r="E295" t="s">
        <v>1500</v>
      </c>
      <c r="F295" t="s">
        <v>1903</v>
      </c>
      <c r="G295" t="s">
        <v>1907</v>
      </c>
      <c r="H295" t="s">
        <v>1912</v>
      </c>
      <c r="I295" s="4">
        <v>196</v>
      </c>
      <c r="J295" s="3">
        <v>96</v>
      </c>
      <c r="K295" s="3">
        <f>Table1[[#This Row],[Quantity Sold]]*Table1[[#This Row],[Unit Price (INR)]]</f>
        <v>18816</v>
      </c>
      <c r="L295" t="s">
        <v>1922</v>
      </c>
    </row>
    <row r="296" spans="1:12" x14ac:dyDescent="0.35">
      <c r="A296" t="s">
        <v>305</v>
      </c>
      <c r="B296" s="5">
        <v>45802</v>
      </c>
      <c r="C296" t="s">
        <v>1213</v>
      </c>
      <c r="D296" t="s">
        <v>1223</v>
      </c>
      <c r="E296" t="s">
        <v>1501</v>
      </c>
      <c r="F296" t="s">
        <v>1905</v>
      </c>
      <c r="G296" t="s">
        <v>1911</v>
      </c>
      <c r="H296" t="s">
        <v>1919</v>
      </c>
      <c r="I296" s="4">
        <v>381</v>
      </c>
      <c r="J296" s="3">
        <v>410</v>
      </c>
      <c r="K296" s="3">
        <f>Table1[[#This Row],[Quantity Sold]]*Table1[[#This Row],[Unit Price (INR)]]</f>
        <v>156210</v>
      </c>
      <c r="L296" t="s">
        <v>1921</v>
      </c>
    </row>
    <row r="297" spans="1:12" x14ac:dyDescent="0.35">
      <c r="A297" t="s">
        <v>306</v>
      </c>
      <c r="B297" s="5">
        <v>45803</v>
      </c>
      <c r="C297" t="s">
        <v>1214</v>
      </c>
      <c r="D297" t="s">
        <v>1222</v>
      </c>
      <c r="E297" t="s">
        <v>1502</v>
      </c>
      <c r="F297" t="s">
        <v>1898</v>
      </c>
      <c r="G297" t="s">
        <v>1907</v>
      </c>
      <c r="H297" t="s">
        <v>1915</v>
      </c>
      <c r="I297" s="4">
        <v>147</v>
      </c>
      <c r="J297" s="3">
        <v>403</v>
      </c>
      <c r="K297" s="3">
        <f>Table1[[#This Row],[Quantity Sold]]*Table1[[#This Row],[Unit Price (INR)]]</f>
        <v>59241</v>
      </c>
      <c r="L297" t="s">
        <v>1920</v>
      </c>
    </row>
    <row r="298" spans="1:12" x14ac:dyDescent="0.35">
      <c r="A298" t="s">
        <v>307</v>
      </c>
      <c r="B298" s="5">
        <v>45804</v>
      </c>
      <c r="C298" t="s">
        <v>1212</v>
      </c>
      <c r="D298" t="s">
        <v>1229</v>
      </c>
      <c r="E298" t="s">
        <v>1434</v>
      </c>
      <c r="F298" t="s">
        <v>1897</v>
      </c>
      <c r="G298" t="s">
        <v>1908</v>
      </c>
      <c r="H298" t="s">
        <v>1912</v>
      </c>
      <c r="I298" s="4">
        <v>139</v>
      </c>
      <c r="J298" s="3">
        <v>401</v>
      </c>
      <c r="K298" s="3">
        <f>Table1[[#This Row],[Quantity Sold]]*Table1[[#This Row],[Unit Price (INR)]]</f>
        <v>55739</v>
      </c>
      <c r="L298" t="s">
        <v>1921</v>
      </c>
    </row>
    <row r="299" spans="1:12" x14ac:dyDescent="0.35">
      <c r="A299" t="s">
        <v>308</v>
      </c>
      <c r="B299" s="5">
        <v>45805</v>
      </c>
      <c r="C299" t="s">
        <v>1212</v>
      </c>
      <c r="D299" t="s">
        <v>1219</v>
      </c>
      <c r="E299" t="s">
        <v>1503</v>
      </c>
      <c r="F299" t="s">
        <v>1906</v>
      </c>
      <c r="G299" t="s">
        <v>1909</v>
      </c>
      <c r="H299" t="s">
        <v>1919</v>
      </c>
      <c r="I299" s="4">
        <v>203</v>
      </c>
      <c r="J299" s="3">
        <v>238</v>
      </c>
      <c r="K299" s="3">
        <f>Table1[[#This Row],[Quantity Sold]]*Table1[[#This Row],[Unit Price (INR)]]</f>
        <v>48314</v>
      </c>
      <c r="L299" t="s">
        <v>1922</v>
      </c>
    </row>
    <row r="300" spans="1:12" x14ac:dyDescent="0.35">
      <c r="A300" t="s">
        <v>309</v>
      </c>
      <c r="B300" s="5">
        <v>45806</v>
      </c>
      <c r="C300" t="s">
        <v>1214</v>
      </c>
      <c r="D300" t="s">
        <v>1228</v>
      </c>
      <c r="E300" t="s">
        <v>1504</v>
      </c>
      <c r="F300" t="s">
        <v>1901</v>
      </c>
      <c r="G300" t="s">
        <v>1911</v>
      </c>
      <c r="H300" t="s">
        <v>1913</v>
      </c>
      <c r="I300" s="4">
        <v>325</v>
      </c>
      <c r="J300" s="3">
        <v>465</v>
      </c>
      <c r="K300" s="3">
        <f>Table1[[#This Row],[Quantity Sold]]*Table1[[#This Row],[Unit Price (INR)]]</f>
        <v>151125</v>
      </c>
      <c r="L300" t="s">
        <v>1923</v>
      </c>
    </row>
    <row r="301" spans="1:12" x14ac:dyDescent="0.35">
      <c r="A301" t="s">
        <v>310</v>
      </c>
      <c r="B301" s="5">
        <v>45807</v>
      </c>
      <c r="C301" t="s">
        <v>1212</v>
      </c>
      <c r="D301" t="s">
        <v>1240</v>
      </c>
      <c r="E301" t="s">
        <v>1505</v>
      </c>
      <c r="F301" t="s">
        <v>1902</v>
      </c>
      <c r="G301" t="s">
        <v>1909</v>
      </c>
      <c r="H301" t="s">
        <v>1918</v>
      </c>
      <c r="I301" s="4">
        <v>481</v>
      </c>
      <c r="J301" s="3">
        <v>305</v>
      </c>
      <c r="K301" s="3">
        <f>Table1[[#This Row],[Quantity Sold]]*Table1[[#This Row],[Unit Price (INR)]]</f>
        <v>146705</v>
      </c>
      <c r="L301" t="s">
        <v>1922</v>
      </c>
    </row>
    <row r="302" spans="1:12" x14ac:dyDescent="0.35">
      <c r="A302" t="s">
        <v>311</v>
      </c>
      <c r="B302" s="5">
        <v>45808</v>
      </c>
      <c r="C302" t="s">
        <v>1214</v>
      </c>
      <c r="D302" t="s">
        <v>1226</v>
      </c>
      <c r="E302" t="s">
        <v>1506</v>
      </c>
      <c r="F302" t="s">
        <v>1901</v>
      </c>
      <c r="G302" t="s">
        <v>1909</v>
      </c>
      <c r="H302" t="s">
        <v>1915</v>
      </c>
      <c r="I302" s="4">
        <v>282</v>
      </c>
      <c r="J302" s="3">
        <v>271</v>
      </c>
      <c r="K302" s="3">
        <f>Table1[[#This Row],[Quantity Sold]]*Table1[[#This Row],[Unit Price (INR)]]</f>
        <v>76422</v>
      </c>
      <c r="L302" t="s">
        <v>1923</v>
      </c>
    </row>
    <row r="303" spans="1:12" x14ac:dyDescent="0.35">
      <c r="A303" t="s">
        <v>312</v>
      </c>
      <c r="B303" s="5">
        <v>45809</v>
      </c>
      <c r="C303" t="s">
        <v>1215</v>
      </c>
      <c r="D303" t="s">
        <v>1231</v>
      </c>
      <c r="E303" t="s">
        <v>1507</v>
      </c>
      <c r="F303" t="s">
        <v>1898</v>
      </c>
      <c r="G303" t="s">
        <v>1909</v>
      </c>
      <c r="H303" t="s">
        <v>1914</v>
      </c>
      <c r="I303" s="4">
        <v>361</v>
      </c>
      <c r="J303" s="3">
        <v>421</v>
      </c>
      <c r="K303" s="3">
        <f>Table1[[#This Row],[Quantity Sold]]*Table1[[#This Row],[Unit Price (INR)]]</f>
        <v>151981</v>
      </c>
      <c r="L303" t="s">
        <v>1920</v>
      </c>
    </row>
    <row r="304" spans="1:12" x14ac:dyDescent="0.35">
      <c r="A304" t="s">
        <v>313</v>
      </c>
      <c r="B304" s="5">
        <v>45810</v>
      </c>
      <c r="C304" t="s">
        <v>1214</v>
      </c>
      <c r="D304" t="s">
        <v>1228</v>
      </c>
      <c r="E304" t="s">
        <v>1508</v>
      </c>
      <c r="F304" t="s">
        <v>1905</v>
      </c>
      <c r="G304" t="s">
        <v>1908</v>
      </c>
      <c r="H304" t="s">
        <v>1917</v>
      </c>
      <c r="I304" s="4">
        <v>153</v>
      </c>
      <c r="J304" s="3">
        <v>290</v>
      </c>
      <c r="K304" s="3">
        <f>Table1[[#This Row],[Quantity Sold]]*Table1[[#This Row],[Unit Price (INR)]]</f>
        <v>44370</v>
      </c>
      <c r="L304" t="s">
        <v>1923</v>
      </c>
    </row>
    <row r="305" spans="1:12" x14ac:dyDescent="0.35">
      <c r="A305" t="s">
        <v>314</v>
      </c>
      <c r="B305" s="5">
        <v>45811</v>
      </c>
      <c r="C305" t="s">
        <v>1211</v>
      </c>
      <c r="D305" t="s">
        <v>1224</v>
      </c>
      <c r="E305" t="s">
        <v>1509</v>
      </c>
      <c r="F305" t="s">
        <v>1902</v>
      </c>
      <c r="G305" t="s">
        <v>1910</v>
      </c>
      <c r="H305" t="s">
        <v>1915</v>
      </c>
      <c r="I305" s="4">
        <v>25</v>
      </c>
      <c r="J305" s="3">
        <v>318</v>
      </c>
      <c r="K305" s="3">
        <f>Table1[[#This Row],[Quantity Sold]]*Table1[[#This Row],[Unit Price (INR)]]</f>
        <v>7950</v>
      </c>
      <c r="L305" t="s">
        <v>1921</v>
      </c>
    </row>
    <row r="306" spans="1:12" x14ac:dyDescent="0.35">
      <c r="A306" t="s">
        <v>315</v>
      </c>
      <c r="B306" s="5">
        <v>45812</v>
      </c>
      <c r="C306" t="s">
        <v>1214</v>
      </c>
      <c r="D306" t="s">
        <v>1228</v>
      </c>
      <c r="E306" t="s">
        <v>1510</v>
      </c>
      <c r="F306" t="s">
        <v>1902</v>
      </c>
      <c r="G306" t="s">
        <v>1911</v>
      </c>
      <c r="H306" t="s">
        <v>1919</v>
      </c>
      <c r="I306" s="4">
        <v>311</v>
      </c>
      <c r="J306" s="3">
        <v>50</v>
      </c>
      <c r="K306" s="3">
        <f>Table1[[#This Row],[Quantity Sold]]*Table1[[#This Row],[Unit Price (INR)]]</f>
        <v>15550</v>
      </c>
      <c r="L306" t="s">
        <v>1921</v>
      </c>
    </row>
    <row r="307" spans="1:12" x14ac:dyDescent="0.35">
      <c r="A307" t="s">
        <v>316</v>
      </c>
      <c r="B307" s="5">
        <v>45813</v>
      </c>
      <c r="C307" t="s">
        <v>1212</v>
      </c>
      <c r="D307" t="s">
        <v>1240</v>
      </c>
      <c r="E307" t="s">
        <v>1480</v>
      </c>
      <c r="F307" t="s">
        <v>1904</v>
      </c>
      <c r="G307" t="s">
        <v>1910</v>
      </c>
      <c r="H307" t="s">
        <v>1917</v>
      </c>
      <c r="I307" s="4">
        <v>432</v>
      </c>
      <c r="J307" s="3">
        <v>83</v>
      </c>
      <c r="K307" s="3">
        <f>Table1[[#This Row],[Quantity Sold]]*Table1[[#This Row],[Unit Price (INR)]]</f>
        <v>35856</v>
      </c>
      <c r="L307" t="s">
        <v>1921</v>
      </c>
    </row>
    <row r="308" spans="1:12" x14ac:dyDescent="0.35">
      <c r="A308" t="s">
        <v>317</v>
      </c>
      <c r="B308" s="5">
        <v>45814</v>
      </c>
      <c r="C308" t="s">
        <v>1211</v>
      </c>
      <c r="D308" t="s">
        <v>1218</v>
      </c>
      <c r="E308" t="s">
        <v>1511</v>
      </c>
      <c r="F308" t="s">
        <v>1897</v>
      </c>
      <c r="G308" t="s">
        <v>1910</v>
      </c>
      <c r="H308" t="s">
        <v>1919</v>
      </c>
      <c r="I308" s="4">
        <v>254</v>
      </c>
      <c r="J308" s="3">
        <v>495</v>
      </c>
      <c r="K308" s="3">
        <f>Table1[[#This Row],[Quantity Sold]]*Table1[[#This Row],[Unit Price (INR)]]</f>
        <v>125730</v>
      </c>
      <c r="L308" t="s">
        <v>1923</v>
      </c>
    </row>
    <row r="309" spans="1:12" x14ac:dyDescent="0.35">
      <c r="A309" t="s">
        <v>318</v>
      </c>
      <c r="B309" s="5">
        <v>45815</v>
      </c>
      <c r="C309" t="s">
        <v>1212</v>
      </c>
      <c r="D309" t="s">
        <v>1229</v>
      </c>
      <c r="E309" t="s">
        <v>1314</v>
      </c>
      <c r="F309" t="s">
        <v>1902</v>
      </c>
      <c r="G309" t="s">
        <v>1910</v>
      </c>
      <c r="H309" t="s">
        <v>1917</v>
      </c>
      <c r="I309" s="4">
        <v>424</v>
      </c>
      <c r="J309" s="3">
        <v>128</v>
      </c>
      <c r="K309" s="3">
        <f>Table1[[#This Row],[Quantity Sold]]*Table1[[#This Row],[Unit Price (INR)]]</f>
        <v>54272</v>
      </c>
      <c r="L309" t="s">
        <v>1921</v>
      </c>
    </row>
    <row r="310" spans="1:12" x14ac:dyDescent="0.35">
      <c r="A310" t="s">
        <v>319</v>
      </c>
      <c r="B310" s="5">
        <v>45816</v>
      </c>
      <c r="C310" t="s">
        <v>1217</v>
      </c>
      <c r="D310" t="s">
        <v>1235</v>
      </c>
      <c r="E310" t="s">
        <v>1378</v>
      </c>
      <c r="F310" t="s">
        <v>1904</v>
      </c>
      <c r="G310" t="s">
        <v>1909</v>
      </c>
      <c r="H310" t="s">
        <v>1914</v>
      </c>
      <c r="I310" s="4">
        <v>116</v>
      </c>
      <c r="J310" s="3">
        <v>285</v>
      </c>
      <c r="K310" s="3">
        <f>Table1[[#This Row],[Quantity Sold]]*Table1[[#This Row],[Unit Price (INR)]]</f>
        <v>33060</v>
      </c>
      <c r="L310" t="s">
        <v>1921</v>
      </c>
    </row>
    <row r="311" spans="1:12" x14ac:dyDescent="0.35">
      <c r="A311" t="s">
        <v>320</v>
      </c>
      <c r="B311" s="5">
        <v>45817</v>
      </c>
      <c r="C311" t="s">
        <v>1217</v>
      </c>
      <c r="D311" t="s">
        <v>1237</v>
      </c>
      <c r="E311" t="s">
        <v>1512</v>
      </c>
      <c r="F311" t="s">
        <v>1904</v>
      </c>
      <c r="G311" t="s">
        <v>1907</v>
      </c>
      <c r="H311" t="s">
        <v>1918</v>
      </c>
      <c r="I311" s="4">
        <v>97</v>
      </c>
      <c r="J311" s="3">
        <v>383</v>
      </c>
      <c r="K311" s="3">
        <f>Table1[[#This Row],[Quantity Sold]]*Table1[[#This Row],[Unit Price (INR)]]</f>
        <v>37151</v>
      </c>
      <c r="L311" t="s">
        <v>1921</v>
      </c>
    </row>
    <row r="312" spans="1:12" x14ac:dyDescent="0.35">
      <c r="A312" t="s">
        <v>321</v>
      </c>
      <c r="B312" s="5">
        <v>45818</v>
      </c>
      <c r="C312" t="s">
        <v>1211</v>
      </c>
      <c r="D312" t="s">
        <v>1221</v>
      </c>
      <c r="E312" t="s">
        <v>1513</v>
      </c>
      <c r="F312" t="s">
        <v>1898</v>
      </c>
      <c r="G312" t="s">
        <v>1909</v>
      </c>
      <c r="H312" t="s">
        <v>1914</v>
      </c>
      <c r="I312" s="4">
        <v>138</v>
      </c>
      <c r="J312" s="3">
        <v>426</v>
      </c>
      <c r="K312" s="3">
        <f>Table1[[#This Row],[Quantity Sold]]*Table1[[#This Row],[Unit Price (INR)]]</f>
        <v>58788</v>
      </c>
      <c r="L312" t="s">
        <v>1920</v>
      </c>
    </row>
    <row r="313" spans="1:12" x14ac:dyDescent="0.35">
      <c r="A313" t="s">
        <v>322</v>
      </c>
      <c r="B313" s="5">
        <v>45819</v>
      </c>
      <c r="C313" t="s">
        <v>1215</v>
      </c>
      <c r="D313" t="s">
        <v>1225</v>
      </c>
      <c r="E313" t="s">
        <v>1455</v>
      </c>
      <c r="F313" t="s">
        <v>1899</v>
      </c>
      <c r="G313" t="s">
        <v>1909</v>
      </c>
      <c r="H313" t="s">
        <v>1913</v>
      </c>
      <c r="I313" s="4">
        <v>404</v>
      </c>
      <c r="J313" s="3">
        <v>398</v>
      </c>
      <c r="K313" s="3">
        <f>Table1[[#This Row],[Quantity Sold]]*Table1[[#This Row],[Unit Price (INR)]]</f>
        <v>160792</v>
      </c>
      <c r="L313" t="s">
        <v>1923</v>
      </c>
    </row>
    <row r="314" spans="1:12" x14ac:dyDescent="0.35">
      <c r="A314" t="s">
        <v>323</v>
      </c>
      <c r="B314" s="5">
        <v>45820</v>
      </c>
      <c r="C314" t="s">
        <v>1217</v>
      </c>
      <c r="D314" t="s">
        <v>1237</v>
      </c>
      <c r="E314" t="s">
        <v>1514</v>
      </c>
      <c r="F314" t="s">
        <v>1901</v>
      </c>
      <c r="G314" t="s">
        <v>1910</v>
      </c>
      <c r="H314" t="s">
        <v>1916</v>
      </c>
      <c r="I314" s="4">
        <v>384</v>
      </c>
      <c r="J314" s="3">
        <v>147</v>
      </c>
      <c r="K314" s="3">
        <f>Table1[[#This Row],[Quantity Sold]]*Table1[[#This Row],[Unit Price (INR)]]</f>
        <v>56448</v>
      </c>
      <c r="L314" t="s">
        <v>1923</v>
      </c>
    </row>
    <row r="315" spans="1:12" x14ac:dyDescent="0.35">
      <c r="A315" t="s">
        <v>324</v>
      </c>
      <c r="B315" s="5">
        <v>45821</v>
      </c>
      <c r="C315" t="s">
        <v>1214</v>
      </c>
      <c r="D315" t="s">
        <v>1228</v>
      </c>
      <c r="E315" t="s">
        <v>1515</v>
      </c>
      <c r="F315" t="s">
        <v>1905</v>
      </c>
      <c r="G315" t="s">
        <v>1909</v>
      </c>
      <c r="H315" t="s">
        <v>1918</v>
      </c>
      <c r="I315" s="4">
        <v>350</v>
      </c>
      <c r="J315" s="3">
        <v>131</v>
      </c>
      <c r="K315" s="3">
        <f>Table1[[#This Row],[Quantity Sold]]*Table1[[#This Row],[Unit Price (INR)]]</f>
        <v>45850</v>
      </c>
      <c r="L315" t="s">
        <v>1922</v>
      </c>
    </row>
    <row r="316" spans="1:12" x14ac:dyDescent="0.35">
      <c r="A316" t="s">
        <v>325</v>
      </c>
      <c r="B316" s="5">
        <v>45822</v>
      </c>
      <c r="C316" t="s">
        <v>1212</v>
      </c>
      <c r="D316" t="s">
        <v>1233</v>
      </c>
      <c r="E316" t="s">
        <v>1516</v>
      </c>
      <c r="F316" t="s">
        <v>1900</v>
      </c>
      <c r="G316" t="s">
        <v>1910</v>
      </c>
      <c r="H316" t="s">
        <v>1914</v>
      </c>
      <c r="I316" s="4">
        <v>13</v>
      </c>
      <c r="J316" s="3">
        <v>464</v>
      </c>
      <c r="K316" s="3">
        <f>Table1[[#This Row],[Quantity Sold]]*Table1[[#This Row],[Unit Price (INR)]]</f>
        <v>6032</v>
      </c>
      <c r="L316" t="s">
        <v>1923</v>
      </c>
    </row>
    <row r="317" spans="1:12" x14ac:dyDescent="0.35">
      <c r="A317" t="s">
        <v>326</v>
      </c>
      <c r="B317" s="5">
        <v>45823</v>
      </c>
      <c r="C317" t="s">
        <v>1217</v>
      </c>
      <c r="D317" t="s">
        <v>1246</v>
      </c>
      <c r="E317" t="s">
        <v>1517</v>
      </c>
      <c r="F317" t="s">
        <v>1901</v>
      </c>
      <c r="G317" t="s">
        <v>1907</v>
      </c>
      <c r="H317" t="s">
        <v>1913</v>
      </c>
      <c r="I317" s="4">
        <v>336</v>
      </c>
      <c r="J317" s="3">
        <v>241</v>
      </c>
      <c r="K317" s="3">
        <f>Table1[[#This Row],[Quantity Sold]]*Table1[[#This Row],[Unit Price (INR)]]</f>
        <v>80976</v>
      </c>
      <c r="L317" t="s">
        <v>1920</v>
      </c>
    </row>
    <row r="318" spans="1:12" x14ac:dyDescent="0.35">
      <c r="A318" t="s">
        <v>327</v>
      </c>
      <c r="B318" s="5">
        <v>45824</v>
      </c>
      <c r="C318" t="s">
        <v>1217</v>
      </c>
      <c r="D318" t="s">
        <v>1246</v>
      </c>
      <c r="E318" t="s">
        <v>1518</v>
      </c>
      <c r="F318" t="s">
        <v>1902</v>
      </c>
      <c r="G318" t="s">
        <v>1911</v>
      </c>
      <c r="H318" t="s">
        <v>1916</v>
      </c>
      <c r="I318" s="4">
        <v>419</v>
      </c>
      <c r="J318" s="3">
        <v>302</v>
      </c>
      <c r="K318" s="3">
        <f>Table1[[#This Row],[Quantity Sold]]*Table1[[#This Row],[Unit Price (INR)]]</f>
        <v>126538</v>
      </c>
      <c r="L318" t="s">
        <v>1923</v>
      </c>
    </row>
    <row r="319" spans="1:12" x14ac:dyDescent="0.35">
      <c r="A319" t="s">
        <v>328</v>
      </c>
      <c r="B319" s="5">
        <v>45825</v>
      </c>
      <c r="C319" t="s">
        <v>1215</v>
      </c>
      <c r="D319" t="s">
        <v>1242</v>
      </c>
      <c r="E319" t="s">
        <v>1336</v>
      </c>
      <c r="F319" t="s">
        <v>1905</v>
      </c>
      <c r="G319" t="s">
        <v>1910</v>
      </c>
      <c r="H319" t="s">
        <v>1913</v>
      </c>
      <c r="I319" s="4">
        <v>376</v>
      </c>
      <c r="J319" s="3">
        <v>458</v>
      </c>
      <c r="K319" s="3">
        <f>Table1[[#This Row],[Quantity Sold]]*Table1[[#This Row],[Unit Price (INR)]]</f>
        <v>172208</v>
      </c>
      <c r="L319" t="s">
        <v>1920</v>
      </c>
    </row>
    <row r="320" spans="1:12" x14ac:dyDescent="0.35">
      <c r="A320" t="s">
        <v>329</v>
      </c>
      <c r="B320" s="5">
        <v>45826</v>
      </c>
      <c r="C320" t="s">
        <v>1211</v>
      </c>
      <c r="D320" t="s">
        <v>1224</v>
      </c>
      <c r="E320" t="s">
        <v>1519</v>
      </c>
      <c r="F320" t="s">
        <v>1906</v>
      </c>
      <c r="G320" t="s">
        <v>1907</v>
      </c>
      <c r="H320" t="s">
        <v>1919</v>
      </c>
      <c r="I320" s="4">
        <v>315</v>
      </c>
      <c r="J320" s="3">
        <v>87</v>
      </c>
      <c r="K320" s="3">
        <f>Table1[[#This Row],[Quantity Sold]]*Table1[[#This Row],[Unit Price (INR)]]</f>
        <v>27405</v>
      </c>
      <c r="L320" t="s">
        <v>1920</v>
      </c>
    </row>
    <row r="321" spans="1:12" x14ac:dyDescent="0.35">
      <c r="A321" t="s">
        <v>330</v>
      </c>
      <c r="B321" s="5">
        <v>45827</v>
      </c>
      <c r="C321" t="s">
        <v>1211</v>
      </c>
      <c r="D321" t="s">
        <v>1224</v>
      </c>
      <c r="E321" t="s">
        <v>1337</v>
      </c>
      <c r="F321" t="s">
        <v>1899</v>
      </c>
      <c r="G321" t="s">
        <v>1911</v>
      </c>
      <c r="H321" t="s">
        <v>1912</v>
      </c>
      <c r="I321" s="4">
        <v>405</v>
      </c>
      <c r="J321" s="3">
        <v>63</v>
      </c>
      <c r="K321" s="3">
        <f>Table1[[#This Row],[Quantity Sold]]*Table1[[#This Row],[Unit Price (INR)]]</f>
        <v>25515</v>
      </c>
      <c r="L321" t="s">
        <v>1923</v>
      </c>
    </row>
    <row r="322" spans="1:12" x14ac:dyDescent="0.35">
      <c r="A322" t="s">
        <v>331</v>
      </c>
      <c r="B322" s="5">
        <v>45828</v>
      </c>
      <c r="C322" t="s">
        <v>1216</v>
      </c>
      <c r="D322" t="s">
        <v>1232</v>
      </c>
      <c r="E322" t="s">
        <v>1520</v>
      </c>
      <c r="F322" t="s">
        <v>1906</v>
      </c>
      <c r="G322" t="s">
        <v>1908</v>
      </c>
      <c r="H322" t="s">
        <v>1919</v>
      </c>
      <c r="I322" s="4">
        <v>104</v>
      </c>
      <c r="J322" s="3">
        <v>441</v>
      </c>
      <c r="K322" s="3">
        <f>Table1[[#This Row],[Quantity Sold]]*Table1[[#This Row],[Unit Price (INR)]]</f>
        <v>45864</v>
      </c>
      <c r="L322" t="s">
        <v>1922</v>
      </c>
    </row>
    <row r="323" spans="1:12" x14ac:dyDescent="0.35">
      <c r="A323" t="s">
        <v>332</v>
      </c>
      <c r="B323" s="5">
        <v>45829</v>
      </c>
      <c r="C323" t="s">
        <v>1215</v>
      </c>
      <c r="D323" t="s">
        <v>1231</v>
      </c>
      <c r="E323" t="s">
        <v>1521</v>
      </c>
      <c r="F323" t="s">
        <v>1906</v>
      </c>
      <c r="G323" t="s">
        <v>1910</v>
      </c>
      <c r="H323" t="s">
        <v>1917</v>
      </c>
      <c r="I323" s="4">
        <v>218</v>
      </c>
      <c r="J323" s="3">
        <v>396</v>
      </c>
      <c r="K323" s="3">
        <f>Table1[[#This Row],[Quantity Sold]]*Table1[[#This Row],[Unit Price (INR)]]</f>
        <v>86328</v>
      </c>
      <c r="L323" t="s">
        <v>1921</v>
      </c>
    </row>
    <row r="324" spans="1:12" x14ac:dyDescent="0.35">
      <c r="A324" t="s">
        <v>333</v>
      </c>
      <c r="B324" s="5">
        <v>45830</v>
      </c>
      <c r="C324" t="s">
        <v>1214</v>
      </c>
      <c r="D324" t="s">
        <v>1227</v>
      </c>
      <c r="E324" t="s">
        <v>1522</v>
      </c>
      <c r="F324" t="s">
        <v>1897</v>
      </c>
      <c r="G324" t="s">
        <v>1910</v>
      </c>
      <c r="H324" t="s">
        <v>1918</v>
      </c>
      <c r="I324" s="4">
        <v>234</v>
      </c>
      <c r="J324" s="3">
        <v>359</v>
      </c>
      <c r="K324" s="3">
        <f>Table1[[#This Row],[Quantity Sold]]*Table1[[#This Row],[Unit Price (INR)]]</f>
        <v>84006</v>
      </c>
      <c r="L324" t="s">
        <v>1921</v>
      </c>
    </row>
    <row r="325" spans="1:12" x14ac:dyDescent="0.35">
      <c r="A325" t="s">
        <v>334</v>
      </c>
      <c r="B325" s="5">
        <v>45831</v>
      </c>
      <c r="C325" t="s">
        <v>1211</v>
      </c>
      <c r="D325" t="s">
        <v>1218</v>
      </c>
      <c r="E325" t="s">
        <v>1523</v>
      </c>
      <c r="F325" t="s">
        <v>1901</v>
      </c>
      <c r="G325" t="s">
        <v>1908</v>
      </c>
      <c r="H325" t="s">
        <v>1919</v>
      </c>
      <c r="I325" s="4">
        <v>468</v>
      </c>
      <c r="J325" s="3">
        <v>435</v>
      </c>
      <c r="K325" s="3">
        <f>Table1[[#This Row],[Quantity Sold]]*Table1[[#This Row],[Unit Price (INR)]]</f>
        <v>203580</v>
      </c>
      <c r="L325" t="s">
        <v>1923</v>
      </c>
    </row>
    <row r="326" spans="1:12" x14ac:dyDescent="0.35">
      <c r="A326" t="s">
        <v>335</v>
      </c>
      <c r="B326" s="5">
        <v>45832</v>
      </c>
      <c r="C326" t="s">
        <v>1212</v>
      </c>
      <c r="D326" t="s">
        <v>1233</v>
      </c>
      <c r="E326" t="s">
        <v>1524</v>
      </c>
      <c r="F326" t="s">
        <v>1900</v>
      </c>
      <c r="G326" t="s">
        <v>1908</v>
      </c>
      <c r="H326" t="s">
        <v>1915</v>
      </c>
      <c r="I326" s="4">
        <v>357</v>
      </c>
      <c r="J326" s="3">
        <v>258</v>
      </c>
      <c r="K326" s="3">
        <f>Table1[[#This Row],[Quantity Sold]]*Table1[[#This Row],[Unit Price (INR)]]</f>
        <v>92106</v>
      </c>
      <c r="L326" t="s">
        <v>1923</v>
      </c>
    </row>
    <row r="327" spans="1:12" x14ac:dyDescent="0.35">
      <c r="A327" t="s">
        <v>336</v>
      </c>
      <c r="B327" s="5">
        <v>45833</v>
      </c>
      <c r="C327" t="s">
        <v>1215</v>
      </c>
      <c r="D327" t="s">
        <v>1231</v>
      </c>
      <c r="E327" t="s">
        <v>1525</v>
      </c>
      <c r="F327" t="s">
        <v>1898</v>
      </c>
      <c r="G327" t="s">
        <v>1910</v>
      </c>
      <c r="H327" t="s">
        <v>1913</v>
      </c>
      <c r="I327" s="4">
        <v>489</v>
      </c>
      <c r="J327" s="3">
        <v>406</v>
      </c>
      <c r="K327" s="3">
        <f>Table1[[#This Row],[Quantity Sold]]*Table1[[#This Row],[Unit Price (INR)]]</f>
        <v>198534</v>
      </c>
      <c r="L327" t="s">
        <v>1920</v>
      </c>
    </row>
    <row r="328" spans="1:12" x14ac:dyDescent="0.35">
      <c r="A328" t="s">
        <v>337</v>
      </c>
      <c r="B328" s="5">
        <v>45834</v>
      </c>
      <c r="C328" t="s">
        <v>1217</v>
      </c>
      <c r="D328" t="s">
        <v>1235</v>
      </c>
      <c r="E328" t="s">
        <v>1526</v>
      </c>
      <c r="F328" t="s">
        <v>1900</v>
      </c>
      <c r="G328" t="s">
        <v>1908</v>
      </c>
      <c r="H328" t="s">
        <v>1918</v>
      </c>
      <c r="I328" s="4">
        <v>330</v>
      </c>
      <c r="J328" s="3">
        <v>138</v>
      </c>
      <c r="K328" s="3">
        <f>Table1[[#This Row],[Quantity Sold]]*Table1[[#This Row],[Unit Price (INR)]]</f>
        <v>45540</v>
      </c>
      <c r="L328" t="s">
        <v>1923</v>
      </c>
    </row>
    <row r="329" spans="1:12" x14ac:dyDescent="0.35">
      <c r="A329" t="s">
        <v>338</v>
      </c>
      <c r="B329" s="5">
        <v>45835</v>
      </c>
      <c r="C329" t="s">
        <v>1212</v>
      </c>
      <c r="D329" t="s">
        <v>1219</v>
      </c>
      <c r="E329" t="s">
        <v>1527</v>
      </c>
      <c r="F329" t="s">
        <v>1906</v>
      </c>
      <c r="G329" t="s">
        <v>1909</v>
      </c>
      <c r="H329" t="s">
        <v>1912</v>
      </c>
      <c r="I329" s="4">
        <v>56</v>
      </c>
      <c r="J329" s="3">
        <v>105</v>
      </c>
      <c r="K329" s="3">
        <f>Table1[[#This Row],[Quantity Sold]]*Table1[[#This Row],[Unit Price (INR)]]</f>
        <v>5880</v>
      </c>
      <c r="L329" t="s">
        <v>1920</v>
      </c>
    </row>
    <row r="330" spans="1:12" x14ac:dyDescent="0.35">
      <c r="A330" t="s">
        <v>339</v>
      </c>
      <c r="B330" s="5">
        <v>45836</v>
      </c>
      <c r="C330" t="s">
        <v>1212</v>
      </c>
      <c r="D330" t="s">
        <v>1233</v>
      </c>
      <c r="E330" t="s">
        <v>1528</v>
      </c>
      <c r="F330" t="s">
        <v>1902</v>
      </c>
      <c r="G330" t="s">
        <v>1911</v>
      </c>
      <c r="H330" t="s">
        <v>1915</v>
      </c>
      <c r="I330" s="4">
        <v>485</v>
      </c>
      <c r="J330" s="3">
        <v>143</v>
      </c>
      <c r="K330" s="3">
        <f>Table1[[#This Row],[Quantity Sold]]*Table1[[#This Row],[Unit Price (INR)]]</f>
        <v>69355</v>
      </c>
      <c r="L330" t="s">
        <v>1922</v>
      </c>
    </row>
    <row r="331" spans="1:12" x14ac:dyDescent="0.35">
      <c r="A331" t="s">
        <v>340</v>
      </c>
      <c r="B331" s="5">
        <v>45837</v>
      </c>
      <c r="C331" t="s">
        <v>1217</v>
      </c>
      <c r="D331" t="s">
        <v>1238</v>
      </c>
      <c r="E331" t="s">
        <v>1483</v>
      </c>
      <c r="F331" t="s">
        <v>1899</v>
      </c>
      <c r="G331" t="s">
        <v>1911</v>
      </c>
      <c r="H331" t="s">
        <v>1919</v>
      </c>
      <c r="I331" s="4">
        <v>190</v>
      </c>
      <c r="J331" s="3">
        <v>142</v>
      </c>
      <c r="K331" s="3">
        <f>Table1[[#This Row],[Quantity Sold]]*Table1[[#This Row],[Unit Price (INR)]]</f>
        <v>26980</v>
      </c>
      <c r="L331" t="s">
        <v>1923</v>
      </c>
    </row>
    <row r="332" spans="1:12" x14ac:dyDescent="0.35">
      <c r="A332" t="s">
        <v>341</v>
      </c>
      <c r="B332" s="5">
        <v>45838</v>
      </c>
      <c r="C332" t="s">
        <v>1215</v>
      </c>
      <c r="D332" t="s">
        <v>1236</v>
      </c>
      <c r="E332" t="s">
        <v>1340</v>
      </c>
      <c r="F332" t="s">
        <v>1903</v>
      </c>
      <c r="G332" t="s">
        <v>1911</v>
      </c>
      <c r="H332" t="s">
        <v>1917</v>
      </c>
      <c r="I332" s="4">
        <v>115</v>
      </c>
      <c r="J332" s="3">
        <v>389</v>
      </c>
      <c r="K332" s="3">
        <f>Table1[[#This Row],[Quantity Sold]]*Table1[[#This Row],[Unit Price (INR)]]</f>
        <v>44735</v>
      </c>
      <c r="L332" t="s">
        <v>1921</v>
      </c>
    </row>
    <row r="333" spans="1:12" x14ac:dyDescent="0.35">
      <c r="A333" t="s">
        <v>342</v>
      </c>
      <c r="B333" s="5">
        <v>45839</v>
      </c>
      <c r="C333" t="s">
        <v>1217</v>
      </c>
      <c r="D333" t="s">
        <v>1235</v>
      </c>
      <c r="E333" t="s">
        <v>1529</v>
      </c>
      <c r="F333" t="s">
        <v>1900</v>
      </c>
      <c r="G333" t="s">
        <v>1909</v>
      </c>
      <c r="H333" t="s">
        <v>1914</v>
      </c>
      <c r="I333" s="4">
        <v>208</v>
      </c>
      <c r="J333" s="3">
        <v>134</v>
      </c>
      <c r="K333" s="3">
        <f>Table1[[#This Row],[Quantity Sold]]*Table1[[#This Row],[Unit Price (INR)]]</f>
        <v>27872</v>
      </c>
      <c r="L333" t="s">
        <v>1921</v>
      </c>
    </row>
    <row r="334" spans="1:12" x14ac:dyDescent="0.35">
      <c r="A334" t="s">
        <v>343</v>
      </c>
      <c r="B334" s="5">
        <v>45840</v>
      </c>
      <c r="C334" t="s">
        <v>1216</v>
      </c>
      <c r="D334" t="s">
        <v>1230</v>
      </c>
      <c r="E334" t="s">
        <v>1422</v>
      </c>
      <c r="F334" t="s">
        <v>1906</v>
      </c>
      <c r="G334" t="s">
        <v>1908</v>
      </c>
      <c r="H334" t="s">
        <v>1917</v>
      </c>
      <c r="I334" s="4">
        <v>395</v>
      </c>
      <c r="J334" s="3">
        <v>494</v>
      </c>
      <c r="K334" s="3">
        <f>Table1[[#This Row],[Quantity Sold]]*Table1[[#This Row],[Unit Price (INR)]]</f>
        <v>195130</v>
      </c>
      <c r="L334" t="s">
        <v>1923</v>
      </c>
    </row>
    <row r="335" spans="1:12" x14ac:dyDescent="0.35">
      <c r="A335" t="s">
        <v>344</v>
      </c>
      <c r="B335" s="5">
        <v>45841</v>
      </c>
      <c r="C335" t="s">
        <v>1212</v>
      </c>
      <c r="D335" t="s">
        <v>1240</v>
      </c>
      <c r="E335" t="s">
        <v>1468</v>
      </c>
      <c r="F335" t="s">
        <v>1899</v>
      </c>
      <c r="G335" t="s">
        <v>1907</v>
      </c>
      <c r="H335" t="s">
        <v>1915</v>
      </c>
      <c r="I335" s="4">
        <v>115</v>
      </c>
      <c r="J335" s="3">
        <v>294</v>
      </c>
      <c r="K335" s="3">
        <f>Table1[[#This Row],[Quantity Sold]]*Table1[[#This Row],[Unit Price (INR)]]</f>
        <v>33810</v>
      </c>
      <c r="L335" t="s">
        <v>1920</v>
      </c>
    </row>
    <row r="336" spans="1:12" x14ac:dyDescent="0.35">
      <c r="A336" t="s">
        <v>345</v>
      </c>
      <c r="B336" s="5">
        <v>45842</v>
      </c>
      <c r="C336" t="s">
        <v>1213</v>
      </c>
      <c r="D336" t="s">
        <v>1223</v>
      </c>
      <c r="E336" t="s">
        <v>1530</v>
      </c>
      <c r="F336" t="s">
        <v>1905</v>
      </c>
      <c r="G336" t="s">
        <v>1908</v>
      </c>
      <c r="H336" t="s">
        <v>1916</v>
      </c>
      <c r="I336" s="4">
        <v>289</v>
      </c>
      <c r="J336" s="3">
        <v>71</v>
      </c>
      <c r="K336" s="3">
        <f>Table1[[#This Row],[Quantity Sold]]*Table1[[#This Row],[Unit Price (INR)]]</f>
        <v>20519</v>
      </c>
      <c r="L336" t="s">
        <v>1921</v>
      </c>
    </row>
    <row r="337" spans="1:12" x14ac:dyDescent="0.35">
      <c r="A337" t="s">
        <v>346</v>
      </c>
      <c r="B337" s="5">
        <v>45843</v>
      </c>
      <c r="C337" t="s">
        <v>1213</v>
      </c>
      <c r="D337" t="s">
        <v>1244</v>
      </c>
      <c r="E337" t="s">
        <v>1531</v>
      </c>
      <c r="F337" t="s">
        <v>1901</v>
      </c>
      <c r="G337" t="s">
        <v>1910</v>
      </c>
      <c r="H337" t="s">
        <v>1919</v>
      </c>
      <c r="I337" s="4">
        <v>269</v>
      </c>
      <c r="J337" s="3">
        <v>340</v>
      </c>
      <c r="K337" s="3">
        <f>Table1[[#This Row],[Quantity Sold]]*Table1[[#This Row],[Unit Price (INR)]]</f>
        <v>91460</v>
      </c>
      <c r="L337" t="s">
        <v>1920</v>
      </c>
    </row>
    <row r="338" spans="1:12" x14ac:dyDescent="0.35">
      <c r="A338" t="s">
        <v>347</v>
      </c>
      <c r="B338" s="5">
        <v>45844</v>
      </c>
      <c r="C338" t="s">
        <v>1214</v>
      </c>
      <c r="D338" t="s">
        <v>1227</v>
      </c>
      <c r="E338" t="s">
        <v>1532</v>
      </c>
      <c r="F338" t="s">
        <v>1904</v>
      </c>
      <c r="G338" t="s">
        <v>1911</v>
      </c>
      <c r="H338" t="s">
        <v>1915</v>
      </c>
      <c r="I338" s="4">
        <v>117</v>
      </c>
      <c r="J338" s="3">
        <v>321</v>
      </c>
      <c r="K338" s="3">
        <f>Table1[[#This Row],[Quantity Sold]]*Table1[[#This Row],[Unit Price (INR)]]</f>
        <v>37557</v>
      </c>
      <c r="L338" t="s">
        <v>1923</v>
      </c>
    </row>
    <row r="339" spans="1:12" x14ac:dyDescent="0.35">
      <c r="A339" t="s">
        <v>348</v>
      </c>
      <c r="B339" s="5">
        <v>45845</v>
      </c>
      <c r="C339" t="s">
        <v>1211</v>
      </c>
      <c r="D339" t="s">
        <v>1218</v>
      </c>
      <c r="E339" t="s">
        <v>1533</v>
      </c>
      <c r="F339" t="s">
        <v>1897</v>
      </c>
      <c r="G339" t="s">
        <v>1908</v>
      </c>
      <c r="H339" t="s">
        <v>1916</v>
      </c>
      <c r="I339" s="4">
        <v>28</v>
      </c>
      <c r="J339" s="3">
        <v>355</v>
      </c>
      <c r="K339" s="3">
        <f>Table1[[#This Row],[Quantity Sold]]*Table1[[#This Row],[Unit Price (INR)]]</f>
        <v>9940</v>
      </c>
      <c r="L339" t="s">
        <v>1923</v>
      </c>
    </row>
    <row r="340" spans="1:12" x14ac:dyDescent="0.35">
      <c r="A340" t="s">
        <v>349</v>
      </c>
      <c r="B340" s="5">
        <v>45846</v>
      </c>
      <c r="C340" t="s">
        <v>1217</v>
      </c>
      <c r="D340" t="s">
        <v>1235</v>
      </c>
      <c r="E340" t="s">
        <v>1534</v>
      </c>
      <c r="F340" t="s">
        <v>1899</v>
      </c>
      <c r="G340" t="s">
        <v>1907</v>
      </c>
      <c r="H340" t="s">
        <v>1916</v>
      </c>
      <c r="I340" s="4">
        <v>419</v>
      </c>
      <c r="J340" s="3">
        <v>171</v>
      </c>
      <c r="K340" s="3">
        <f>Table1[[#This Row],[Quantity Sold]]*Table1[[#This Row],[Unit Price (INR)]]</f>
        <v>71649</v>
      </c>
      <c r="L340" t="s">
        <v>1921</v>
      </c>
    </row>
    <row r="341" spans="1:12" x14ac:dyDescent="0.35">
      <c r="A341" t="s">
        <v>350</v>
      </c>
      <c r="B341" s="5">
        <v>45847</v>
      </c>
      <c r="C341" t="s">
        <v>1217</v>
      </c>
      <c r="D341" t="s">
        <v>1238</v>
      </c>
      <c r="E341" t="s">
        <v>1535</v>
      </c>
      <c r="F341" t="s">
        <v>1902</v>
      </c>
      <c r="G341" t="s">
        <v>1910</v>
      </c>
      <c r="H341" t="s">
        <v>1913</v>
      </c>
      <c r="I341" s="4">
        <v>468</v>
      </c>
      <c r="J341" s="3">
        <v>177</v>
      </c>
      <c r="K341" s="3">
        <f>Table1[[#This Row],[Quantity Sold]]*Table1[[#This Row],[Unit Price (INR)]]</f>
        <v>82836</v>
      </c>
      <c r="L341" t="s">
        <v>1923</v>
      </c>
    </row>
    <row r="342" spans="1:12" x14ac:dyDescent="0.35">
      <c r="A342" t="s">
        <v>351</v>
      </c>
      <c r="B342" s="5">
        <v>45848</v>
      </c>
      <c r="C342" t="s">
        <v>1214</v>
      </c>
      <c r="D342" t="s">
        <v>1227</v>
      </c>
      <c r="E342" t="s">
        <v>1536</v>
      </c>
      <c r="F342" t="s">
        <v>1902</v>
      </c>
      <c r="G342" t="s">
        <v>1909</v>
      </c>
      <c r="H342" t="s">
        <v>1918</v>
      </c>
      <c r="I342" s="4">
        <v>305</v>
      </c>
      <c r="J342" s="3">
        <v>162</v>
      </c>
      <c r="K342" s="3">
        <f>Table1[[#This Row],[Quantity Sold]]*Table1[[#This Row],[Unit Price (INR)]]</f>
        <v>49410</v>
      </c>
      <c r="L342" t="s">
        <v>1922</v>
      </c>
    </row>
    <row r="343" spans="1:12" x14ac:dyDescent="0.35">
      <c r="A343" t="s">
        <v>352</v>
      </c>
      <c r="B343" s="5">
        <v>45849</v>
      </c>
      <c r="C343" t="s">
        <v>1214</v>
      </c>
      <c r="D343" t="s">
        <v>1226</v>
      </c>
      <c r="E343" t="s">
        <v>1537</v>
      </c>
      <c r="F343" t="s">
        <v>1899</v>
      </c>
      <c r="G343" t="s">
        <v>1909</v>
      </c>
      <c r="H343" t="s">
        <v>1913</v>
      </c>
      <c r="I343" s="4">
        <v>315</v>
      </c>
      <c r="J343" s="3">
        <v>476</v>
      </c>
      <c r="K343" s="3">
        <f>Table1[[#This Row],[Quantity Sold]]*Table1[[#This Row],[Unit Price (INR)]]</f>
        <v>149940</v>
      </c>
      <c r="L343" t="s">
        <v>1922</v>
      </c>
    </row>
    <row r="344" spans="1:12" x14ac:dyDescent="0.35">
      <c r="A344" t="s">
        <v>353</v>
      </c>
      <c r="B344" s="5">
        <v>45850</v>
      </c>
      <c r="C344" t="s">
        <v>1214</v>
      </c>
      <c r="D344" t="s">
        <v>1222</v>
      </c>
      <c r="E344" t="s">
        <v>1538</v>
      </c>
      <c r="F344" t="s">
        <v>1902</v>
      </c>
      <c r="G344" t="s">
        <v>1907</v>
      </c>
      <c r="H344" t="s">
        <v>1919</v>
      </c>
      <c r="I344" s="4">
        <v>180</v>
      </c>
      <c r="J344" s="3">
        <v>322</v>
      </c>
      <c r="K344" s="3">
        <f>Table1[[#This Row],[Quantity Sold]]*Table1[[#This Row],[Unit Price (INR)]]</f>
        <v>57960</v>
      </c>
      <c r="L344" t="s">
        <v>1921</v>
      </c>
    </row>
    <row r="345" spans="1:12" x14ac:dyDescent="0.35">
      <c r="A345" t="s">
        <v>354</v>
      </c>
      <c r="B345" s="5">
        <v>45851</v>
      </c>
      <c r="C345" t="s">
        <v>1212</v>
      </c>
      <c r="D345" t="s">
        <v>1233</v>
      </c>
      <c r="E345" t="s">
        <v>1354</v>
      </c>
      <c r="F345" t="s">
        <v>1901</v>
      </c>
      <c r="G345" t="s">
        <v>1910</v>
      </c>
      <c r="H345" t="s">
        <v>1916</v>
      </c>
      <c r="I345" s="4">
        <v>340</v>
      </c>
      <c r="J345" s="3">
        <v>385</v>
      </c>
      <c r="K345" s="3">
        <f>Table1[[#This Row],[Quantity Sold]]*Table1[[#This Row],[Unit Price (INR)]]</f>
        <v>130900</v>
      </c>
      <c r="L345" t="s">
        <v>1922</v>
      </c>
    </row>
    <row r="346" spans="1:12" x14ac:dyDescent="0.35">
      <c r="A346" t="s">
        <v>355</v>
      </c>
      <c r="B346" s="5">
        <v>45852</v>
      </c>
      <c r="C346" t="s">
        <v>1216</v>
      </c>
      <c r="D346" t="s">
        <v>1241</v>
      </c>
      <c r="E346" t="s">
        <v>1539</v>
      </c>
      <c r="F346" t="s">
        <v>1902</v>
      </c>
      <c r="G346" t="s">
        <v>1911</v>
      </c>
      <c r="H346" t="s">
        <v>1912</v>
      </c>
      <c r="I346" s="4">
        <v>204</v>
      </c>
      <c r="J346" s="3">
        <v>491</v>
      </c>
      <c r="K346" s="3">
        <f>Table1[[#This Row],[Quantity Sold]]*Table1[[#This Row],[Unit Price (INR)]]</f>
        <v>100164</v>
      </c>
      <c r="L346" t="s">
        <v>1920</v>
      </c>
    </row>
    <row r="347" spans="1:12" x14ac:dyDescent="0.35">
      <c r="A347" t="s">
        <v>356</v>
      </c>
      <c r="B347" s="5">
        <v>45853</v>
      </c>
      <c r="C347" t="s">
        <v>1217</v>
      </c>
      <c r="D347" t="s">
        <v>1237</v>
      </c>
      <c r="E347" t="s">
        <v>1540</v>
      </c>
      <c r="F347" t="s">
        <v>1900</v>
      </c>
      <c r="G347" t="s">
        <v>1908</v>
      </c>
      <c r="H347" t="s">
        <v>1915</v>
      </c>
      <c r="I347" s="4">
        <v>21</v>
      </c>
      <c r="J347" s="3">
        <v>179</v>
      </c>
      <c r="K347" s="3">
        <f>Table1[[#This Row],[Quantity Sold]]*Table1[[#This Row],[Unit Price (INR)]]</f>
        <v>3759</v>
      </c>
      <c r="L347" t="s">
        <v>1921</v>
      </c>
    </row>
    <row r="348" spans="1:12" x14ac:dyDescent="0.35">
      <c r="A348" t="s">
        <v>357</v>
      </c>
      <c r="B348" s="5">
        <v>45854</v>
      </c>
      <c r="C348" t="s">
        <v>1212</v>
      </c>
      <c r="D348" t="s">
        <v>1219</v>
      </c>
      <c r="E348" t="s">
        <v>1541</v>
      </c>
      <c r="F348" t="s">
        <v>1904</v>
      </c>
      <c r="G348" t="s">
        <v>1910</v>
      </c>
      <c r="H348" t="s">
        <v>1914</v>
      </c>
      <c r="I348" s="4">
        <v>204</v>
      </c>
      <c r="J348" s="3">
        <v>181</v>
      </c>
      <c r="K348" s="3">
        <f>Table1[[#This Row],[Quantity Sold]]*Table1[[#This Row],[Unit Price (INR)]]</f>
        <v>36924</v>
      </c>
      <c r="L348" t="s">
        <v>1921</v>
      </c>
    </row>
    <row r="349" spans="1:12" x14ac:dyDescent="0.35">
      <c r="A349" t="s">
        <v>358</v>
      </c>
      <c r="B349" s="5">
        <v>45855</v>
      </c>
      <c r="C349" t="s">
        <v>1214</v>
      </c>
      <c r="D349" t="s">
        <v>1222</v>
      </c>
      <c r="E349" t="s">
        <v>1542</v>
      </c>
      <c r="F349" t="s">
        <v>1902</v>
      </c>
      <c r="G349" t="s">
        <v>1909</v>
      </c>
      <c r="H349" t="s">
        <v>1916</v>
      </c>
      <c r="I349" s="4">
        <v>499</v>
      </c>
      <c r="J349" s="3">
        <v>134</v>
      </c>
      <c r="K349" s="3">
        <f>Table1[[#This Row],[Quantity Sold]]*Table1[[#This Row],[Unit Price (INR)]]</f>
        <v>66866</v>
      </c>
      <c r="L349" t="s">
        <v>1920</v>
      </c>
    </row>
    <row r="350" spans="1:12" x14ac:dyDescent="0.35">
      <c r="A350" t="s">
        <v>359</v>
      </c>
      <c r="B350" s="5">
        <v>45856</v>
      </c>
      <c r="C350" t="s">
        <v>1217</v>
      </c>
      <c r="D350" t="s">
        <v>1246</v>
      </c>
      <c r="E350" t="s">
        <v>1424</v>
      </c>
      <c r="F350" t="s">
        <v>1904</v>
      </c>
      <c r="G350" t="s">
        <v>1907</v>
      </c>
      <c r="H350" t="s">
        <v>1915</v>
      </c>
      <c r="I350" s="4">
        <v>292</v>
      </c>
      <c r="J350" s="3">
        <v>472</v>
      </c>
      <c r="K350" s="3">
        <f>Table1[[#This Row],[Quantity Sold]]*Table1[[#This Row],[Unit Price (INR)]]</f>
        <v>137824</v>
      </c>
      <c r="L350" t="s">
        <v>1922</v>
      </c>
    </row>
    <row r="351" spans="1:12" x14ac:dyDescent="0.35">
      <c r="A351" t="s">
        <v>360</v>
      </c>
      <c r="B351" s="5">
        <v>45857</v>
      </c>
      <c r="C351" t="s">
        <v>1212</v>
      </c>
      <c r="D351" t="s">
        <v>1219</v>
      </c>
      <c r="E351" t="s">
        <v>1543</v>
      </c>
      <c r="F351" t="s">
        <v>1906</v>
      </c>
      <c r="G351" t="s">
        <v>1907</v>
      </c>
      <c r="H351" t="s">
        <v>1912</v>
      </c>
      <c r="I351" s="4">
        <v>378</v>
      </c>
      <c r="J351" s="3">
        <v>399</v>
      </c>
      <c r="K351" s="3">
        <f>Table1[[#This Row],[Quantity Sold]]*Table1[[#This Row],[Unit Price (INR)]]</f>
        <v>150822</v>
      </c>
      <c r="L351" t="s">
        <v>1922</v>
      </c>
    </row>
    <row r="352" spans="1:12" x14ac:dyDescent="0.35">
      <c r="A352" t="s">
        <v>361</v>
      </c>
      <c r="B352" s="5">
        <v>45858</v>
      </c>
      <c r="C352" t="s">
        <v>1216</v>
      </c>
      <c r="D352" t="s">
        <v>1239</v>
      </c>
      <c r="E352" t="s">
        <v>1544</v>
      </c>
      <c r="F352" t="s">
        <v>1898</v>
      </c>
      <c r="G352" t="s">
        <v>1908</v>
      </c>
      <c r="H352" t="s">
        <v>1914</v>
      </c>
      <c r="I352" s="4">
        <v>191</v>
      </c>
      <c r="J352" s="3">
        <v>439</v>
      </c>
      <c r="K352" s="3">
        <f>Table1[[#This Row],[Quantity Sold]]*Table1[[#This Row],[Unit Price (INR)]]</f>
        <v>83849</v>
      </c>
      <c r="L352" t="s">
        <v>1922</v>
      </c>
    </row>
    <row r="353" spans="1:12" x14ac:dyDescent="0.35">
      <c r="A353" t="s">
        <v>362</v>
      </c>
      <c r="B353" s="5">
        <v>45859</v>
      </c>
      <c r="C353" t="s">
        <v>1212</v>
      </c>
      <c r="D353" t="s">
        <v>1219</v>
      </c>
      <c r="E353" t="s">
        <v>1545</v>
      </c>
      <c r="F353" t="s">
        <v>1901</v>
      </c>
      <c r="G353" t="s">
        <v>1907</v>
      </c>
      <c r="H353" t="s">
        <v>1913</v>
      </c>
      <c r="I353" s="4">
        <v>459</v>
      </c>
      <c r="J353" s="3">
        <v>130</v>
      </c>
      <c r="K353" s="3">
        <f>Table1[[#This Row],[Quantity Sold]]*Table1[[#This Row],[Unit Price (INR)]]</f>
        <v>59670</v>
      </c>
      <c r="L353" t="s">
        <v>1921</v>
      </c>
    </row>
    <row r="354" spans="1:12" x14ac:dyDescent="0.35">
      <c r="A354" t="s">
        <v>363</v>
      </c>
      <c r="B354" s="5">
        <v>45860</v>
      </c>
      <c r="C354" t="s">
        <v>1216</v>
      </c>
      <c r="D354" t="s">
        <v>1230</v>
      </c>
      <c r="E354" t="s">
        <v>1546</v>
      </c>
      <c r="F354" t="s">
        <v>1898</v>
      </c>
      <c r="G354" t="s">
        <v>1907</v>
      </c>
      <c r="H354" t="s">
        <v>1913</v>
      </c>
      <c r="I354" s="4">
        <v>314</v>
      </c>
      <c r="J354" s="3">
        <v>374</v>
      </c>
      <c r="K354" s="3">
        <f>Table1[[#This Row],[Quantity Sold]]*Table1[[#This Row],[Unit Price (INR)]]</f>
        <v>117436</v>
      </c>
      <c r="L354" t="s">
        <v>1921</v>
      </c>
    </row>
    <row r="355" spans="1:12" x14ac:dyDescent="0.35">
      <c r="A355" t="s">
        <v>364</v>
      </c>
      <c r="B355" s="5">
        <v>45861</v>
      </c>
      <c r="C355" t="s">
        <v>1214</v>
      </c>
      <c r="D355" t="s">
        <v>1226</v>
      </c>
      <c r="E355" t="s">
        <v>1547</v>
      </c>
      <c r="F355" t="s">
        <v>1906</v>
      </c>
      <c r="G355" t="s">
        <v>1910</v>
      </c>
      <c r="H355" t="s">
        <v>1918</v>
      </c>
      <c r="I355" s="4">
        <v>153</v>
      </c>
      <c r="J355" s="3">
        <v>118</v>
      </c>
      <c r="K355" s="3">
        <f>Table1[[#This Row],[Quantity Sold]]*Table1[[#This Row],[Unit Price (INR)]]</f>
        <v>18054</v>
      </c>
      <c r="L355" t="s">
        <v>1922</v>
      </c>
    </row>
    <row r="356" spans="1:12" x14ac:dyDescent="0.35">
      <c r="A356" t="s">
        <v>365</v>
      </c>
      <c r="B356" s="5">
        <v>45862</v>
      </c>
      <c r="C356" t="s">
        <v>1216</v>
      </c>
      <c r="D356" t="s">
        <v>1232</v>
      </c>
      <c r="E356" t="s">
        <v>1548</v>
      </c>
      <c r="F356" t="s">
        <v>1901</v>
      </c>
      <c r="G356" t="s">
        <v>1911</v>
      </c>
      <c r="H356" t="s">
        <v>1915</v>
      </c>
      <c r="I356" s="4">
        <v>395</v>
      </c>
      <c r="J356" s="3">
        <v>197</v>
      </c>
      <c r="K356" s="3">
        <f>Table1[[#This Row],[Quantity Sold]]*Table1[[#This Row],[Unit Price (INR)]]</f>
        <v>77815</v>
      </c>
      <c r="L356" t="s">
        <v>1923</v>
      </c>
    </row>
    <row r="357" spans="1:12" x14ac:dyDescent="0.35">
      <c r="A357" t="s">
        <v>366</v>
      </c>
      <c r="B357" s="5">
        <v>45863</v>
      </c>
      <c r="C357" t="s">
        <v>1217</v>
      </c>
      <c r="D357" t="s">
        <v>1238</v>
      </c>
      <c r="E357" t="s">
        <v>1549</v>
      </c>
      <c r="F357" t="s">
        <v>1899</v>
      </c>
      <c r="G357" t="s">
        <v>1908</v>
      </c>
      <c r="H357" t="s">
        <v>1916</v>
      </c>
      <c r="I357" s="4">
        <v>325</v>
      </c>
      <c r="J357" s="3">
        <v>497</v>
      </c>
      <c r="K357" s="3">
        <f>Table1[[#This Row],[Quantity Sold]]*Table1[[#This Row],[Unit Price (INR)]]</f>
        <v>161525</v>
      </c>
      <c r="L357" t="s">
        <v>1922</v>
      </c>
    </row>
    <row r="358" spans="1:12" x14ac:dyDescent="0.35">
      <c r="A358" t="s">
        <v>367</v>
      </c>
      <c r="B358" s="5">
        <v>45864</v>
      </c>
      <c r="C358" t="s">
        <v>1214</v>
      </c>
      <c r="D358" t="s">
        <v>1226</v>
      </c>
      <c r="E358" t="s">
        <v>1550</v>
      </c>
      <c r="F358" t="s">
        <v>1899</v>
      </c>
      <c r="G358" t="s">
        <v>1910</v>
      </c>
      <c r="H358" t="s">
        <v>1917</v>
      </c>
      <c r="I358" s="4">
        <v>191</v>
      </c>
      <c r="J358" s="3">
        <v>65</v>
      </c>
      <c r="K358" s="3">
        <f>Table1[[#This Row],[Quantity Sold]]*Table1[[#This Row],[Unit Price (INR)]]</f>
        <v>12415</v>
      </c>
      <c r="L358" t="s">
        <v>1920</v>
      </c>
    </row>
    <row r="359" spans="1:12" x14ac:dyDescent="0.35">
      <c r="A359" t="s">
        <v>368</v>
      </c>
      <c r="B359" s="5">
        <v>45865</v>
      </c>
      <c r="C359" t="s">
        <v>1217</v>
      </c>
      <c r="D359" t="s">
        <v>1238</v>
      </c>
      <c r="E359" t="s">
        <v>1551</v>
      </c>
      <c r="F359" t="s">
        <v>1904</v>
      </c>
      <c r="G359" t="s">
        <v>1911</v>
      </c>
      <c r="H359" t="s">
        <v>1913</v>
      </c>
      <c r="I359" s="4">
        <v>39</v>
      </c>
      <c r="J359" s="3">
        <v>356</v>
      </c>
      <c r="K359" s="3">
        <f>Table1[[#This Row],[Quantity Sold]]*Table1[[#This Row],[Unit Price (INR)]]</f>
        <v>13884</v>
      </c>
      <c r="L359" t="s">
        <v>1921</v>
      </c>
    </row>
    <row r="360" spans="1:12" x14ac:dyDescent="0.35">
      <c r="A360" t="s">
        <v>369</v>
      </c>
      <c r="B360" s="5">
        <v>45866</v>
      </c>
      <c r="C360" t="s">
        <v>1213</v>
      </c>
      <c r="D360" t="s">
        <v>1223</v>
      </c>
      <c r="E360" t="s">
        <v>1552</v>
      </c>
      <c r="F360" t="s">
        <v>1906</v>
      </c>
      <c r="G360" t="s">
        <v>1910</v>
      </c>
      <c r="H360" t="s">
        <v>1913</v>
      </c>
      <c r="I360" s="4">
        <v>93</v>
      </c>
      <c r="J360" s="3">
        <v>154</v>
      </c>
      <c r="K360" s="3">
        <f>Table1[[#This Row],[Quantity Sold]]*Table1[[#This Row],[Unit Price (INR)]]</f>
        <v>14322</v>
      </c>
      <c r="L360" t="s">
        <v>1920</v>
      </c>
    </row>
    <row r="361" spans="1:12" x14ac:dyDescent="0.35">
      <c r="A361" t="s">
        <v>370</v>
      </c>
      <c r="B361" s="5">
        <v>45867</v>
      </c>
      <c r="C361" t="s">
        <v>1215</v>
      </c>
      <c r="D361" t="s">
        <v>1236</v>
      </c>
      <c r="E361" t="s">
        <v>1527</v>
      </c>
      <c r="F361" t="s">
        <v>1904</v>
      </c>
      <c r="G361" t="s">
        <v>1910</v>
      </c>
      <c r="H361" t="s">
        <v>1918</v>
      </c>
      <c r="I361" s="4">
        <v>175</v>
      </c>
      <c r="J361" s="3">
        <v>214</v>
      </c>
      <c r="K361" s="3">
        <f>Table1[[#This Row],[Quantity Sold]]*Table1[[#This Row],[Unit Price (INR)]]</f>
        <v>37450</v>
      </c>
      <c r="L361" t="s">
        <v>1920</v>
      </c>
    </row>
    <row r="362" spans="1:12" x14ac:dyDescent="0.35">
      <c r="A362" t="s">
        <v>371</v>
      </c>
      <c r="B362" s="5">
        <v>45868</v>
      </c>
      <c r="C362" t="s">
        <v>1216</v>
      </c>
      <c r="D362" t="s">
        <v>1239</v>
      </c>
      <c r="E362" t="s">
        <v>1553</v>
      </c>
      <c r="F362" t="s">
        <v>1897</v>
      </c>
      <c r="G362" t="s">
        <v>1907</v>
      </c>
      <c r="H362" t="s">
        <v>1914</v>
      </c>
      <c r="I362" s="4">
        <v>293</v>
      </c>
      <c r="J362" s="3">
        <v>250</v>
      </c>
      <c r="K362" s="3">
        <f>Table1[[#This Row],[Quantity Sold]]*Table1[[#This Row],[Unit Price (INR)]]</f>
        <v>73250</v>
      </c>
      <c r="L362" t="s">
        <v>1921</v>
      </c>
    </row>
    <row r="363" spans="1:12" x14ac:dyDescent="0.35">
      <c r="A363" t="s">
        <v>372</v>
      </c>
      <c r="B363" s="5">
        <v>45869</v>
      </c>
      <c r="C363" t="s">
        <v>1215</v>
      </c>
      <c r="D363" t="s">
        <v>1231</v>
      </c>
      <c r="E363" t="s">
        <v>1554</v>
      </c>
      <c r="F363" t="s">
        <v>1902</v>
      </c>
      <c r="G363" t="s">
        <v>1911</v>
      </c>
      <c r="H363" t="s">
        <v>1918</v>
      </c>
      <c r="I363" s="4">
        <v>290</v>
      </c>
      <c r="J363" s="3">
        <v>246</v>
      </c>
      <c r="K363" s="3">
        <f>Table1[[#This Row],[Quantity Sold]]*Table1[[#This Row],[Unit Price (INR)]]</f>
        <v>71340</v>
      </c>
      <c r="L363" t="s">
        <v>1923</v>
      </c>
    </row>
    <row r="364" spans="1:12" x14ac:dyDescent="0.35">
      <c r="A364" t="s">
        <v>373</v>
      </c>
      <c r="B364" s="5">
        <v>45870</v>
      </c>
      <c r="C364" t="s">
        <v>1215</v>
      </c>
      <c r="D364" t="s">
        <v>1225</v>
      </c>
      <c r="E364" t="s">
        <v>1422</v>
      </c>
      <c r="F364" t="s">
        <v>1903</v>
      </c>
      <c r="G364" t="s">
        <v>1908</v>
      </c>
      <c r="H364" t="s">
        <v>1912</v>
      </c>
      <c r="I364" s="4">
        <v>105</v>
      </c>
      <c r="J364" s="3">
        <v>475</v>
      </c>
      <c r="K364" s="3">
        <f>Table1[[#This Row],[Quantity Sold]]*Table1[[#This Row],[Unit Price (INR)]]</f>
        <v>49875</v>
      </c>
      <c r="L364" t="s">
        <v>1922</v>
      </c>
    </row>
    <row r="365" spans="1:12" x14ac:dyDescent="0.35">
      <c r="A365" t="s">
        <v>374</v>
      </c>
      <c r="B365" s="5">
        <v>45871</v>
      </c>
      <c r="C365" t="s">
        <v>1216</v>
      </c>
      <c r="D365" t="s">
        <v>1232</v>
      </c>
      <c r="E365" t="s">
        <v>1508</v>
      </c>
      <c r="F365" t="s">
        <v>1897</v>
      </c>
      <c r="G365" t="s">
        <v>1908</v>
      </c>
      <c r="H365" t="s">
        <v>1916</v>
      </c>
      <c r="I365" s="4">
        <v>390</v>
      </c>
      <c r="J365" s="3">
        <v>234</v>
      </c>
      <c r="K365" s="3">
        <f>Table1[[#This Row],[Quantity Sold]]*Table1[[#This Row],[Unit Price (INR)]]</f>
        <v>91260</v>
      </c>
      <c r="L365" t="s">
        <v>1920</v>
      </c>
    </row>
    <row r="366" spans="1:12" x14ac:dyDescent="0.35">
      <c r="A366" t="s">
        <v>375</v>
      </c>
      <c r="B366" s="5">
        <v>45872</v>
      </c>
      <c r="C366" t="s">
        <v>1214</v>
      </c>
      <c r="D366" t="s">
        <v>1222</v>
      </c>
      <c r="E366" t="s">
        <v>1318</v>
      </c>
      <c r="F366" t="s">
        <v>1902</v>
      </c>
      <c r="G366" t="s">
        <v>1911</v>
      </c>
      <c r="H366" t="s">
        <v>1915</v>
      </c>
      <c r="I366" s="4">
        <v>275</v>
      </c>
      <c r="J366" s="3">
        <v>371</v>
      </c>
      <c r="K366" s="3">
        <f>Table1[[#This Row],[Quantity Sold]]*Table1[[#This Row],[Unit Price (INR)]]</f>
        <v>102025</v>
      </c>
      <c r="L366" t="s">
        <v>1921</v>
      </c>
    </row>
    <row r="367" spans="1:12" x14ac:dyDescent="0.35">
      <c r="A367" t="s">
        <v>376</v>
      </c>
      <c r="B367" s="5">
        <v>45873</v>
      </c>
      <c r="C367" t="s">
        <v>1213</v>
      </c>
      <c r="D367" t="s">
        <v>1234</v>
      </c>
      <c r="E367" t="s">
        <v>1555</v>
      </c>
      <c r="F367" t="s">
        <v>1901</v>
      </c>
      <c r="G367" t="s">
        <v>1907</v>
      </c>
      <c r="H367" t="s">
        <v>1919</v>
      </c>
      <c r="I367" s="4">
        <v>453</v>
      </c>
      <c r="J367" s="3">
        <v>314</v>
      </c>
      <c r="K367" s="3">
        <f>Table1[[#This Row],[Quantity Sold]]*Table1[[#This Row],[Unit Price (INR)]]</f>
        <v>142242</v>
      </c>
      <c r="L367" t="s">
        <v>1920</v>
      </c>
    </row>
    <row r="368" spans="1:12" x14ac:dyDescent="0.35">
      <c r="A368" t="s">
        <v>377</v>
      </c>
      <c r="B368" s="5">
        <v>45874</v>
      </c>
      <c r="C368" t="s">
        <v>1217</v>
      </c>
      <c r="D368" t="s">
        <v>1237</v>
      </c>
      <c r="E368" t="s">
        <v>1305</v>
      </c>
      <c r="F368" t="s">
        <v>1904</v>
      </c>
      <c r="G368" t="s">
        <v>1909</v>
      </c>
      <c r="H368" t="s">
        <v>1919</v>
      </c>
      <c r="I368" s="4">
        <v>307</v>
      </c>
      <c r="J368" s="3">
        <v>412</v>
      </c>
      <c r="K368" s="3">
        <f>Table1[[#This Row],[Quantity Sold]]*Table1[[#This Row],[Unit Price (INR)]]</f>
        <v>126484</v>
      </c>
      <c r="L368" t="s">
        <v>1922</v>
      </c>
    </row>
    <row r="369" spans="1:12" x14ac:dyDescent="0.35">
      <c r="A369" t="s">
        <v>378</v>
      </c>
      <c r="B369" s="5">
        <v>45875</v>
      </c>
      <c r="C369" t="s">
        <v>1212</v>
      </c>
      <c r="D369" t="s">
        <v>1219</v>
      </c>
      <c r="E369" t="s">
        <v>1391</v>
      </c>
      <c r="F369" t="s">
        <v>1901</v>
      </c>
      <c r="G369" t="s">
        <v>1910</v>
      </c>
      <c r="H369" t="s">
        <v>1915</v>
      </c>
      <c r="I369" s="4">
        <v>305</v>
      </c>
      <c r="J369" s="3">
        <v>149</v>
      </c>
      <c r="K369" s="3">
        <f>Table1[[#This Row],[Quantity Sold]]*Table1[[#This Row],[Unit Price (INR)]]</f>
        <v>45445</v>
      </c>
      <c r="L369" t="s">
        <v>1923</v>
      </c>
    </row>
    <row r="370" spans="1:12" x14ac:dyDescent="0.35">
      <c r="A370" t="s">
        <v>379</v>
      </c>
      <c r="B370" s="5">
        <v>45876</v>
      </c>
      <c r="C370" t="s">
        <v>1217</v>
      </c>
      <c r="D370" t="s">
        <v>1238</v>
      </c>
      <c r="E370" t="s">
        <v>1489</v>
      </c>
      <c r="F370" t="s">
        <v>1901</v>
      </c>
      <c r="G370" t="s">
        <v>1907</v>
      </c>
      <c r="H370" t="s">
        <v>1914</v>
      </c>
      <c r="I370" s="4">
        <v>234</v>
      </c>
      <c r="J370" s="3">
        <v>391</v>
      </c>
      <c r="K370" s="3">
        <f>Table1[[#This Row],[Quantity Sold]]*Table1[[#This Row],[Unit Price (INR)]]</f>
        <v>91494</v>
      </c>
      <c r="L370" t="s">
        <v>1923</v>
      </c>
    </row>
    <row r="371" spans="1:12" x14ac:dyDescent="0.35">
      <c r="A371" t="s">
        <v>380</v>
      </c>
      <c r="B371" s="5">
        <v>45877</v>
      </c>
      <c r="C371" t="s">
        <v>1212</v>
      </c>
      <c r="D371" t="s">
        <v>1240</v>
      </c>
      <c r="E371" t="s">
        <v>1556</v>
      </c>
      <c r="F371" t="s">
        <v>1902</v>
      </c>
      <c r="G371" t="s">
        <v>1911</v>
      </c>
      <c r="H371" t="s">
        <v>1912</v>
      </c>
      <c r="I371" s="4">
        <v>342</v>
      </c>
      <c r="J371" s="3">
        <v>369</v>
      </c>
      <c r="K371" s="3">
        <f>Table1[[#This Row],[Quantity Sold]]*Table1[[#This Row],[Unit Price (INR)]]</f>
        <v>126198</v>
      </c>
      <c r="L371" t="s">
        <v>1923</v>
      </c>
    </row>
    <row r="372" spans="1:12" x14ac:dyDescent="0.35">
      <c r="A372" t="s">
        <v>381</v>
      </c>
      <c r="B372" s="5">
        <v>45878</v>
      </c>
      <c r="C372" t="s">
        <v>1217</v>
      </c>
      <c r="D372" t="s">
        <v>1245</v>
      </c>
      <c r="E372" t="s">
        <v>1557</v>
      </c>
      <c r="F372" t="s">
        <v>1906</v>
      </c>
      <c r="G372" t="s">
        <v>1910</v>
      </c>
      <c r="H372" t="s">
        <v>1913</v>
      </c>
      <c r="I372" s="4">
        <v>370</v>
      </c>
      <c r="J372" s="3">
        <v>263</v>
      </c>
      <c r="K372" s="3">
        <f>Table1[[#This Row],[Quantity Sold]]*Table1[[#This Row],[Unit Price (INR)]]</f>
        <v>97310</v>
      </c>
      <c r="L372" t="s">
        <v>1921</v>
      </c>
    </row>
    <row r="373" spans="1:12" x14ac:dyDescent="0.35">
      <c r="A373" t="s">
        <v>382</v>
      </c>
      <c r="B373" s="5">
        <v>45879</v>
      </c>
      <c r="C373" t="s">
        <v>1216</v>
      </c>
      <c r="D373" t="s">
        <v>1239</v>
      </c>
      <c r="E373" t="s">
        <v>1367</v>
      </c>
      <c r="F373" t="s">
        <v>1902</v>
      </c>
      <c r="G373" t="s">
        <v>1908</v>
      </c>
      <c r="H373" t="s">
        <v>1914</v>
      </c>
      <c r="I373" s="4">
        <v>383</v>
      </c>
      <c r="J373" s="3">
        <v>327</v>
      </c>
      <c r="K373" s="3">
        <f>Table1[[#This Row],[Quantity Sold]]*Table1[[#This Row],[Unit Price (INR)]]</f>
        <v>125241</v>
      </c>
      <c r="L373" t="s">
        <v>1921</v>
      </c>
    </row>
    <row r="374" spans="1:12" x14ac:dyDescent="0.35">
      <c r="A374" t="s">
        <v>383</v>
      </c>
      <c r="B374" s="5">
        <v>45880</v>
      </c>
      <c r="C374" t="s">
        <v>1213</v>
      </c>
      <c r="D374" t="s">
        <v>1223</v>
      </c>
      <c r="E374" t="s">
        <v>1279</v>
      </c>
      <c r="F374" t="s">
        <v>1905</v>
      </c>
      <c r="G374" t="s">
        <v>1909</v>
      </c>
      <c r="H374" t="s">
        <v>1913</v>
      </c>
      <c r="I374" s="4">
        <v>51</v>
      </c>
      <c r="J374" s="3">
        <v>211</v>
      </c>
      <c r="K374" s="3">
        <f>Table1[[#This Row],[Quantity Sold]]*Table1[[#This Row],[Unit Price (INR)]]</f>
        <v>10761</v>
      </c>
      <c r="L374" t="s">
        <v>1923</v>
      </c>
    </row>
    <row r="375" spans="1:12" x14ac:dyDescent="0.35">
      <c r="A375" t="s">
        <v>384</v>
      </c>
      <c r="B375" s="5">
        <v>45881</v>
      </c>
      <c r="C375" t="s">
        <v>1212</v>
      </c>
      <c r="D375" t="s">
        <v>1240</v>
      </c>
      <c r="E375" t="s">
        <v>1271</v>
      </c>
      <c r="F375" t="s">
        <v>1899</v>
      </c>
      <c r="G375" t="s">
        <v>1908</v>
      </c>
      <c r="H375" t="s">
        <v>1913</v>
      </c>
      <c r="I375" s="4">
        <v>312</v>
      </c>
      <c r="J375" s="3">
        <v>488</v>
      </c>
      <c r="K375" s="3">
        <f>Table1[[#This Row],[Quantity Sold]]*Table1[[#This Row],[Unit Price (INR)]]</f>
        <v>152256</v>
      </c>
      <c r="L375" t="s">
        <v>1922</v>
      </c>
    </row>
    <row r="376" spans="1:12" x14ac:dyDescent="0.35">
      <c r="A376" t="s">
        <v>385</v>
      </c>
      <c r="B376" s="5">
        <v>45882</v>
      </c>
      <c r="C376" t="s">
        <v>1211</v>
      </c>
      <c r="D376" t="s">
        <v>1218</v>
      </c>
      <c r="E376" t="s">
        <v>1558</v>
      </c>
      <c r="F376" t="s">
        <v>1899</v>
      </c>
      <c r="G376" t="s">
        <v>1911</v>
      </c>
      <c r="H376" t="s">
        <v>1919</v>
      </c>
      <c r="I376" s="4">
        <v>430</v>
      </c>
      <c r="J376" s="3">
        <v>206</v>
      </c>
      <c r="K376" s="3">
        <f>Table1[[#This Row],[Quantity Sold]]*Table1[[#This Row],[Unit Price (INR)]]</f>
        <v>88580</v>
      </c>
      <c r="L376" t="s">
        <v>1922</v>
      </c>
    </row>
    <row r="377" spans="1:12" x14ac:dyDescent="0.35">
      <c r="A377" t="s">
        <v>386</v>
      </c>
      <c r="B377" s="5">
        <v>45883</v>
      </c>
      <c r="C377" t="s">
        <v>1214</v>
      </c>
      <c r="D377" t="s">
        <v>1226</v>
      </c>
      <c r="E377" t="s">
        <v>1559</v>
      </c>
      <c r="F377" t="s">
        <v>1897</v>
      </c>
      <c r="G377" t="s">
        <v>1910</v>
      </c>
      <c r="H377" t="s">
        <v>1914</v>
      </c>
      <c r="I377" s="4">
        <v>255</v>
      </c>
      <c r="J377" s="3">
        <v>471</v>
      </c>
      <c r="K377" s="3">
        <f>Table1[[#This Row],[Quantity Sold]]*Table1[[#This Row],[Unit Price (INR)]]</f>
        <v>120105</v>
      </c>
      <c r="L377" t="s">
        <v>1921</v>
      </c>
    </row>
    <row r="378" spans="1:12" x14ac:dyDescent="0.35">
      <c r="A378" t="s">
        <v>387</v>
      </c>
      <c r="B378" s="5">
        <v>45884</v>
      </c>
      <c r="C378" t="s">
        <v>1217</v>
      </c>
      <c r="D378" t="s">
        <v>1237</v>
      </c>
      <c r="E378" t="s">
        <v>1560</v>
      </c>
      <c r="F378" t="s">
        <v>1899</v>
      </c>
      <c r="G378" t="s">
        <v>1911</v>
      </c>
      <c r="H378" t="s">
        <v>1912</v>
      </c>
      <c r="I378" s="4">
        <v>217</v>
      </c>
      <c r="J378" s="3">
        <v>300</v>
      </c>
      <c r="K378" s="3">
        <f>Table1[[#This Row],[Quantity Sold]]*Table1[[#This Row],[Unit Price (INR)]]</f>
        <v>65100</v>
      </c>
      <c r="L378" t="s">
        <v>1923</v>
      </c>
    </row>
    <row r="379" spans="1:12" x14ac:dyDescent="0.35">
      <c r="A379" t="s">
        <v>388</v>
      </c>
      <c r="B379" s="5">
        <v>45885</v>
      </c>
      <c r="C379" t="s">
        <v>1217</v>
      </c>
      <c r="D379" t="s">
        <v>1245</v>
      </c>
      <c r="E379" t="s">
        <v>1561</v>
      </c>
      <c r="F379" t="s">
        <v>1902</v>
      </c>
      <c r="G379" t="s">
        <v>1910</v>
      </c>
      <c r="H379" t="s">
        <v>1918</v>
      </c>
      <c r="I379" s="4">
        <v>246</v>
      </c>
      <c r="J379" s="3">
        <v>415</v>
      </c>
      <c r="K379" s="3">
        <f>Table1[[#This Row],[Quantity Sold]]*Table1[[#This Row],[Unit Price (INR)]]</f>
        <v>102090</v>
      </c>
      <c r="L379" t="s">
        <v>1922</v>
      </c>
    </row>
    <row r="380" spans="1:12" x14ac:dyDescent="0.35">
      <c r="A380" t="s">
        <v>389</v>
      </c>
      <c r="B380" s="5">
        <v>45886</v>
      </c>
      <c r="C380" t="s">
        <v>1212</v>
      </c>
      <c r="D380" t="s">
        <v>1240</v>
      </c>
      <c r="E380" t="s">
        <v>1562</v>
      </c>
      <c r="F380" t="s">
        <v>1900</v>
      </c>
      <c r="G380" t="s">
        <v>1907</v>
      </c>
      <c r="H380" t="s">
        <v>1913</v>
      </c>
      <c r="I380" s="4">
        <v>31</v>
      </c>
      <c r="J380" s="3">
        <v>146</v>
      </c>
      <c r="K380" s="3">
        <f>Table1[[#This Row],[Quantity Sold]]*Table1[[#This Row],[Unit Price (INR)]]</f>
        <v>4526</v>
      </c>
      <c r="L380" t="s">
        <v>1922</v>
      </c>
    </row>
    <row r="381" spans="1:12" x14ac:dyDescent="0.35">
      <c r="A381" t="s">
        <v>390</v>
      </c>
      <c r="B381" s="5">
        <v>45887</v>
      </c>
      <c r="C381" t="s">
        <v>1214</v>
      </c>
      <c r="D381" t="s">
        <v>1228</v>
      </c>
      <c r="E381" t="s">
        <v>1360</v>
      </c>
      <c r="F381" t="s">
        <v>1904</v>
      </c>
      <c r="G381" t="s">
        <v>1909</v>
      </c>
      <c r="H381" t="s">
        <v>1917</v>
      </c>
      <c r="I381" s="4">
        <v>194</v>
      </c>
      <c r="J381" s="3">
        <v>67</v>
      </c>
      <c r="K381" s="3">
        <f>Table1[[#This Row],[Quantity Sold]]*Table1[[#This Row],[Unit Price (INR)]]</f>
        <v>12998</v>
      </c>
      <c r="L381" t="s">
        <v>1922</v>
      </c>
    </row>
    <row r="382" spans="1:12" x14ac:dyDescent="0.35">
      <c r="A382" t="s">
        <v>391</v>
      </c>
      <c r="B382" s="5">
        <v>45888</v>
      </c>
      <c r="C382" t="s">
        <v>1214</v>
      </c>
      <c r="D382" t="s">
        <v>1227</v>
      </c>
      <c r="E382" t="s">
        <v>1563</v>
      </c>
      <c r="F382" t="s">
        <v>1902</v>
      </c>
      <c r="G382" t="s">
        <v>1907</v>
      </c>
      <c r="H382" t="s">
        <v>1917</v>
      </c>
      <c r="I382" s="4">
        <v>477</v>
      </c>
      <c r="J382" s="3">
        <v>376</v>
      </c>
      <c r="K382" s="3">
        <f>Table1[[#This Row],[Quantity Sold]]*Table1[[#This Row],[Unit Price (INR)]]</f>
        <v>179352</v>
      </c>
      <c r="L382" t="s">
        <v>1921</v>
      </c>
    </row>
    <row r="383" spans="1:12" x14ac:dyDescent="0.35">
      <c r="A383" t="s">
        <v>392</v>
      </c>
      <c r="B383" s="5">
        <v>45889</v>
      </c>
      <c r="C383" t="s">
        <v>1216</v>
      </c>
      <c r="D383" t="s">
        <v>1241</v>
      </c>
      <c r="E383" t="s">
        <v>1417</v>
      </c>
      <c r="F383" t="s">
        <v>1902</v>
      </c>
      <c r="G383" t="s">
        <v>1907</v>
      </c>
      <c r="H383" t="s">
        <v>1918</v>
      </c>
      <c r="I383" s="4">
        <v>251</v>
      </c>
      <c r="J383" s="3">
        <v>498</v>
      </c>
      <c r="K383" s="3">
        <f>Table1[[#This Row],[Quantity Sold]]*Table1[[#This Row],[Unit Price (INR)]]</f>
        <v>124998</v>
      </c>
      <c r="L383" t="s">
        <v>1923</v>
      </c>
    </row>
    <row r="384" spans="1:12" x14ac:dyDescent="0.35">
      <c r="A384" t="s">
        <v>393</v>
      </c>
      <c r="B384" s="5">
        <v>45890</v>
      </c>
      <c r="C384" t="s">
        <v>1211</v>
      </c>
      <c r="D384" t="s">
        <v>1218</v>
      </c>
      <c r="E384" t="s">
        <v>1564</v>
      </c>
      <c r="F384" t="s">
        <v>1903</v>
      </c>
      <c r="G384" t="s">
        <v>1911</v>
      </c>
      <c r="H384" t="s">
        <v>1917</v>
      </c>
      <c r="I384" s="4">
        <v>372</v>
      </c>
      <c r="J384" s="3">
        <v>432</v>
      </c>
      <c r="K384" s="3">
        <f>Table1[[#This Row],[Quantity Sold]]*Table1[[#This Row],[Unit Price (INR)]]</f>
        <v>160704</v>
      </c>
      <c r="L384" t="s">
        <v>1920</v>
      </c>
    </row>
    <row r="385" spans="1:12" x14ac:dyDescent="0.35">
      <c r="A385" t="s">
        <v>394</v>
      </c>
      <c r="B385" s="5">
        <v>45891</v>
      </c>
      <c r="C385" t="s">
        <v>1216</v>
      </c>
      <c r="D385" t="s">
        <v>1230</v>
      </c>
      <c r="E385" t="s">
        <v>1565</v>
      </c>
      <c r="F385" t="s">
        <v>1904</v>
      </c>
      <c r="G385" t="s">
        <v>1909</v>
      </c>
      <c r="H385" t="s">
        <v>1916</v>
      </c>
      <c r="I385" s="4">
        <v>292</v>
      </c>
      <c r="J385" s="3">
        <v>146</v>
      </c>
      <c r="K385" s="3">
        <f>Table1[[#This Row],[Quantity Sold]]*Table1[[#This Row],[Unit Price (INR)]]</f>
        <v>42632</v>
      </c>
      <c r="L385" t="s">
        <v>1923</v>
      </c>
    </row>
    <row r="386" spans="1:12" x14ac:dyDescent="0.35">
      <c r="A386" t="s">
        <v>395</v>
      </c>
      <c r="B386" s="5">
        <v>45892</v>
      </c>
      <c r="C386" t="s">
        <v>1216</v>
      </c>
      <c r="D386" t="s">
        <v>1230</v>
      </c>
      <c r="E386" t="s">
        <v>1566</v>
      </c>
      <c r="F386" t="s">
        <v>1905</v>
      </c>
      <c r="G386" t="s">
        <v>1910</v>
      </c>
      <c r="H386" t="s">
        <v>1913</v>
      </c>
      <c r="I386" s="4">
        <v>50</v>
      </c>
      <c r="J386" s="3">
        <v>50</v>
      </c>
      <c r="K386" s="3">
        <f>Table1[[#This Row],[Quantity Sold]]*Table1[[#This Row],[Unit Price (INR)]]</f>
        <v>2500</v>
      </c>
      <c r="L386" t="s">
        <v>1923</v>
      </c>
    </row>
    <row r="387" spans="1:12" x14ac:dyDescent="0.35">
      <c r="A387" t="s">
        <v>396</v>
      </c>
      <c r="B387" s="5">
        <v>45893</v>
      </c>
      <c r="C387" t="s">
        <v>1216</v>
      </c>
      <c r="D387" t="s">
        <v>1239</v>
      </c>
      <c r="E387" t="s">
        <v>1567</v>
      </c>
      <c r="F387" t="s">
        <v>1899</v>
      </c>
      <c r="G387" t="s">
        <v>1910</v>
      </c>
      <c r="H387" t="s">
        <v>1918</v>
      </c>
      <c r="I387" s="4">
        <v>345</v>
      </c>
      <c r="J387" s="3">
        <v>265</v>
      </c>
      <c r="K387" s="3">
        <f>Table1[[#This Row],[Quantity Sold]]*Table1[[#This Row],[Unit Price (INR)]]</f>
        <v>91425</v>
      </c>
      <c r="L387" t="s">
        <v>1921</v>
      </c>
    </row>
    <row r="388" spans="1:12" x14ac:dyDescent="0.35">
      <c r="A388" t="s">
        <v>397</v>
      </c>
      <c r="B388" s="5">
        <v>45894</v>
      </c>
      <c r="C388" t="s">
        <v>1216</v>
      </c>
      <c r="D388" t="s">
        <v>1241</v>
      </c>
      <c r="E388" t="s">
        <v>1559</v>
      </c>
      <c r="F388" t="s">
        <v>1904</v>
      </c>
      <c r="G388" t="s">
        <v>1908</v>
      </c>
      <c r="H388" t="s">
        <v>1914</v>
      </c>
      <c r="I388" s="4">
        <v>171</v>
      </c>
      <c r="J388" s="3">
        <v>181</v>
      </c>
      <c r="K388" s="3">
        <f>Table1[[#This Row],[Quantity Sold]]*Table1[[#This Row],[Unit Price (INR)]]</f>
        <v>30951</v>
      </c>
      <c r="L388" t="s">
        <v>1922</v>
      </c>
    </row>
    <row r="389" spans="1:12" x14ac:dyDescent="0.35">
      <c r="A389" t="s">
        <v>398</v>
      </c>
      <c r="B389" s="5">
        <v>45895</v>
      </c>
      <c r="C389" t="s">
        <v>1216</v>
      </c>
      <c r="D389" t="s">
        <v>1241</v>
      </c>
      <c r="E389" t="s">
        <v>1568</v>
      </c>
      <c r="F389" t="s">
        <v>1899</v>
      </c>
      <c r="G389" t="s">
        <v>1910</v>
      </c>
      <c r="H389" t="s">
        <v>1913</v>
      </c>
      <c r="I389" s="4">
        <v>169</v>
      </c>
      <c r="J389" s="3">
        <v>309</v>
      </c>
      <c r="K389" s="3">
        <f>Table1[[#This Row],[Quantity Sold]]*Table1[[#This Row],[Unit Price (INR)]]</f>
        <v>52221</v>
      </c>
      <c r="L389" t="s">
        <v>1922</v>
      </c>
    </row>
    <row r="390" spans="1:12" x14ac:dyDescent="0.35">
      <c r="A390" t="s">
        <v>399</v>
      </c>
      <c r="B390" s="5">
        <v>45896</v>
      </c>
      <c r="C390" t="s">
        <v>1213</v>
      </c>
      <c r="D390" t="s">
        <v>1244</v>
      </c>
      <c r="E390" t="s">
        <v>1569</v>
      </c>
      <c r="F390" t="s">
        <v>1897</v>
      </c>
      <c r="G390" t="s">
        <v>1911</v>
      </c>
      <c r="H390" t="s">
        <v>1918</v>
      </c>
      <c r="I390" s="4">
        <v>483</v>
      </c>
      <c r="J390" s="3">
        <v>174</v>
      </c>
      <c r="K390" s="3">
        <f>Table1[[#This Row],[Quantity Sold]]*Table1[[#This Row],[Unit Price (INR)]]</f>
        <v>84042</v>
      </c>
      <c r="L390" t="s">
        <v>1921</v>
      </c>
    </row>
    <row r="391" spans="1:12" x14ac:dyDescent="0.35">
      <c r="A391" t="s">
        <v>400</v>
      </c>
      <c r="B391" s="5">
        <v>45897</v>
      </c>
      <c r="C391" t="s">
        <v>1214</v>
      </c>
      <c r="D391" t="s">
        <v>1228</v>
      </c>
      <c r="E391" t="s">
        <v>1249</v>
      </c>
      <c r="F391" t="s">
        <v>1904</v>
      </c>
      <c r="G391" t="s">
        <v>1907</v>
      </c>
      <c r="H391" t="s">
        <v>1919</v>
      </c>
      <c r="I391" s="4">
        <v>98</v>
      </c>
      <c r="J391" s="3">
        <v>131</v>
      </c>
      <c r="K391" s="3">
        <f>Table1[[#This Row],[Quantity Sold]]*Table1[[#This Row],[Unit Price (INR)]]</f>
        <v>12838</v>
      </c>
      <c r="L391" t="s">
        <v>1921</v>
      </c>
    </row>
    <row r="392" spans="1:12" x14ac:dyDescent="0.35">
      <c r="A392" t="s">
        <v>401</v>
      </c>
      <c r="B392" s="5">
        <v>45898</v>
      </c>
      <c r="C392" t="s">
        <v>1216</v>
      </c>
      <c r="D392" t="s">
        <v>1241</v>
      </c>
      <c r="E392" t="s">
        <v>1303</v>
      </c>
      <c r="F392" t="s">
        <v>1899</v>
      </c>
      <c r="G392" t="s">
        <v>1907</v>
      </c>
      <c r="H392" t="s">
        <v>1912</v>
      </c>
      <c r="I392" s="4">
        <v>331</v>
      </c>
      <c r="J392" s="3">
        <v>332</v>
      </c>
      <c r="K392" s="3">
        <f>Table1[[#This Row],[Quantity Sold]]*Table1[[#This Row],[Unit Price (INR)]]</f>
        <v>109892</v>
      </c>
      <c r="L392" t="s">
        <v>1921</v>
      </c>
    </row>
    <row r="393" spans="1:12" x14ac:dyDescent="0.35">
      <c r="A393" t="s">
        <v>402</v>
      </c>
      <c r="B393" s="5">
        <v>45899</v>
      </c>
      <c r="C393" t="s">
        <v>1214</v>
      </c>
      <c r="D393" t="s">
        <v>1228</v>
      </c>
      <c r="E393" t="s">
        <v>1570</v>
      </c>
      <c r="F393" t="s">
        <v>1905</v>
      </c>
      <c r="G393" t="s">
        <v>1907</v>
      </c>
      <c r="H393" t="s">
        <v>1914</v>
      </c>
      <c r="I393" s="4">
        <v>21</v>
      </c>
      <c r="J393" s="3">
        <v>220</v>
      </c>
      <c r="K393" s="3">
        <f>Table1[[#This Row],[Quantity Sold]]*Table1[[#This Row],[Unit Price (INR)]]</f>
        <v>4620</v>
      </c>
      <c r="L393" t="s">
        <v>1921</v>
      </c>
    </row>
    <row r="394" spans="1:12" x14ac:dyDescent="0.35">
      <c r="A394" t="s">
        <v>403</v>
      </c>
      <c r="B394" s="5">
        <v>45900</v>
      </c>
      <c r="C394" t="s">
        <v>1214</v>
      </c>
      <c r="D394" t="s">
        <v>1227</v>
      </c>
      <c r="E394" t="s">
        <v>1571</v>
      </c>
      <c r="F394" t="s">
        <v>1898</v>
      </c>
      <c r="G394" t="s">
        <v>1909</v>
      </c>
      <c r="H394" t="s">
        <v>1912</v>
      </c>
      <c r="I394" s="4">
        <v>433</v>
      </c>
      <c r="J394" s="3">
        <v>108</v>
      </c>
      <c r="K394" s="3">
        <f>Table1[[#This Row],[Quantity Sold]]*Table1[[#This Row],[Unit Price (INR)]]</f>
        <v>46764</v>
      </c>
      <c r="L394" t="s">
        <v>1921</v>
      </c>
    </row>
    <row r="395" spans="1:12" x14ac:dyDescent="0.35">
      <c r="A395" t="s">
        <v>404</v>
      </c>
      <c r="B395" s="5">
        <v>45901</v>
      </c>
      <c r="C395" t="s">
        <v>1215</v>
      </c>
      <c r="D395" t="s">
        <v>1243</v>
      </c>
      <c r="E395" t="s">
        <v>1374</v>
      </c>
      <c r="F395" t="s">
        <v>1901</v>
      </c>
      <c r="G395" t="s">
        <v>1910</v>
      </c>
      <c r="H395" t="s">
        <v>1919</v>
      </c>
      <c r="I395" s="4">
        <v>82</v>
      </c>
      <c r="J395" s="3">
        <v>81</v>
      </c>
      <c r="K395" s="3">
        <f>Table1[[#This Row],[Quantity Sold]]*Table1[[#This Row],[Unit Price (INR)]]</f>
        <v>6642</v>
      </c>
      <c r="L395" t="s">
        <v>1920</v>
      </c>
    </row>
    <row r="396" spans="1:12" x14ac:dyDescent="0.35">
      <c r="A396" t="s">
        <v>405</v>
      </c>
      <c r="B396" s="5">
        <v>45902</v>
      </c>
      <c r="C396" t="s">
        <v>1213</v>
      </c>
      <c r="D396" t="s">
        <v>1223</v>
      </c>
      <c r="E396" t="s">
        <v>1331</v>
      </c>
      <c r="F396" t="s">
        <v>1901</v>
      </c>
      <c r="G396" t="s">
        <v>1911</v>
      </c>
      <c r="H396" t="s">
        <v>1913</v>
      </c>
      <c r="I396" s="4">
        <v>85</v>
      </c>
      <c r="J396" s="3">
        <v>210</v>
      </c>
      <c r="K396" s="3">
        <f>Table1[[#This Row],[Quantity Sold]]*Table1[[#This Row],[Unit Price (INR)]]</f>
        <v>17850</v>
      </c>
      <c r="L396" t="s">
        <v>1923</v>
      </c>
    </row>
    <row r="397" spans="1:12" x14ac:dyDescent="0.35">
      <c r="A397" t="s">
        <v>406</v>
      </c>
      <c r="B397" s="5">
        <v>45903</v>
      </c>
      <c r="C397" t="s">
        <v>1216</v>
      </c>
      <c r="D397" t="s">
        <v>1232</v>
      </c>
      <c r="E397" t="s">
        <v>1572</v>
      </c>
      <c r="F397" t="s">
        <v>1905</v>
      </c>
      <c r="G397" t="s">
        <v>1909</v>
      </c>
      <c r="H397" t="s">
        <v>1914</v>
      </c>
      <c r="I397" s="4">
        <v>355</v>
      </c>
      <c r="J397" s="3">
        <v>333</v>
      </c>
      <c r="K397" s="3">
        <f>Table1[[#This Row],[Quantity Sold]]*Table1[[#This Row],[Unit Price (INR)]]</f>
        <v>118215</v>
      </c>
      <c r="L397" t="s">
        <v>1923</v>
      </c>
    </row>
    <row r="398" spans="1:12" x14ac:dyDescent="0.35">
      <c r="A398" t="s">
        <v>407</v>
      </c>
      <c r="B398" s="5">
        <v>45904</v>
      </c>
      <c r="C398" t="s">
        <v>1217</v>
      </c>
      <c r="D398" t="s">
        <v>1246</v>
      </c>
      <c r="E398" t="s">
        <v>1297</v>
      </c>
      <c r="F398" t="s">
        <v>1903</v>
      </c>
      <c r="G398" t="s">
        <v>1908</v>
      </c>
      <c r="H398" t="s">
        <v>1912</v>
      </c>
      <c r="I398" s="4">
        <v>210</v>
      </c>
      <c r="J398" s="3">
        <v>155</v>
      </c>
      <c r="K398" s="3">
        <f>Table1[[#This Row],[Quantity Sold]]*Table1[[#This Row],[Unit Price (INR)]]</f>
        <v>32550</v>
      </c>
      <c r="L398" t="s">
        <v>1923</v>
      </c>
    </row>
    <row r="399" spans="1:12" x14ac:dyDescent="0.35">
      <c r="A399" t="s">
        <v>408</v>
      </c>
      <c r="B399" s="5">
        <v>45905</v>
      </c>
      <c r="C399" t="s">
        <v>1212</v>
      </c>
      <c r="D399" t="s">
        <v>1229</v>
      </c>
      <c r="E399" t="s">
        <v>1573</v>
      </c>
      <c r="F399" t="s">
        <v>1898</v>
      </c>
      <c r="G399" t="s">
        <v>1911</v>
      </c>
      <c r="H399" t="s">
        <v>1917</v>
      </c>
      <c r="I399" s="4">
        <v>19</v>
      </c>
      <c r="J399" s="3">
        <v>154</v>
      </c>
      <c r="K399" s="3">
        <f>Table1[[#This Row],[Quantity Sold]]*Table1[[#This Row],[Unit Price (INR)]]</f>
        <v>2926</v>
      </c>
      <c r="L399" t="s">
        <v>1922</v>
      </c>
    </row>
    <row r="400" spans="1:12" x14ac:dyDescent="0.35">
      <c r="A400" t="s">
        <v>409</v>
      </c>
      <c r="B400" s="5">
        <v>45906</v>
      </c>
      <c r="C400" t="s">
        <v>1211</v>
      </c>
      <c r="D400" t="s">
        <v>1221</v>
      </c>
      <c r="E400" t="s">
        <v>1574</v>
      </c>
      <c r="F400" t="s">
        <v>1897</v>
      </c>
      <c r="G400" t="s">
        <v>1911</v>
      </c>
      <c r="H400" t="s">
        <v>1912</v>
      </c>
      <c r="I400" s="4">
        <v>361</v>
      </c>
      <c r="J400" s="3">
        <v>488</v>
      </c>
      <c r="K400" s="3">
        <f>Table1[[#This Row],[Quantity Sold]]*Table1[[#This Row],[Unit Price (INR)]]</f>
        <v>176168</v>
      </c>
      <c r="L400" t="s">
        <v>1920</v>
      </c>
    </row>
    <row r="401" spans="1:12" x14ac:dyDescent="0.35">
      <c r="A401" t="s">
        <v>410</v>
      </c>
      <c r="B401" s="5">
        <v>45907</v>
      </c>
      <c r="C401" t="s">
        <v>1217</v>
      </c>
      <c r="D401" t="s">
        <v>1237</v>
      </c>
      <c r="E401" t="s">
        <v>1575</v>
      </c>
      <c r="F401" t="s">
        <v>1905</v>
      </c>
      <c r="G401" t="s">
        <v>1911</v>
      </c>
      <c r="H401" t="s">
        <v>1918</v>
      </c>
      <c r="I401" s="4">
        <v>235</v>
      </c>
      <c r="J401" s="3">
        <v>277</v>
      </c>
      <c r="K401" s="3">
        <f>Table1[[#This Row],[Quantity Sold]]*Table1[[#This Row],[Unit Price (INR)]]</f>
        <v>65095</v>
      </c>
      <c r="L401" t="s">
        <v>1923</v>
      </c>
    </row>
    <row r="402" spans="1:12" x14ac:dyDescent="0.35">
      <c r="A402" t="s">
        <v>411</v>
      </c>
      <c r="B402" s="5">
        <v>45908</v>
      </c>
      <c r="C402" t="s">
        <v>1213</v>
      </c>
      <c r="D402" t="s">
        <v>1220</v>
      </c>
      <c r="E402" t="s">
        <v>1576</v>
      </c>
      <c r="F402" t="s">
        <v>1901</v>
      </c>
      <c r="G402" t="s">
        <v>1907</v>
      </c>
      <c r="H402" t="s">
        <v>1913</v>
      </c>
      <c r="I402" s="4">
        <v>185</v>
      </c>
      <c r="J402" s="3">
        <v>237</v>
      </c>
      <c r="K402" s="3">
        <f>Table1[[#This Row],[Quantity Sold]]*Table1[[#This Row],[Unit Price (INR)]]</f>
        <v>43845</v>
      </c>
      <c r="L402" t="s">
        <v>1922</v>
      </c>
    </row>
    <row r="403" spans="1:12" x14ac:dyDescent="0.35">
      <c r="A403" t="s">
        <v>412</v>
      </c>
      <c r="B403" s="5">
        <v>45909</v>
      </c>
      <c r="C403" t="s">
        <v>1212</v>
      </c>
      <c r="D403" t="s">
        <v>1233</v>
      </c>
      <c r="E403" t="s">
        <v>1459</v>
      </c>
      <c r="F403" t="s">
        <v>1901</v>
      </c>
      <c r="G403" t="s">
        <v>1911</v>
      </c>
      <c r="H403" t="s">
        <v>1916</v>
      </c>
      <c r="I403" s="4">
        <v>285</v>
      </c>
      <c r="J403" s="3">
        <v>119</v>
      </c>
      <c r="K403" s="3">
        <f>Table1[[#This Row],[Quantity Sold]]*Table1[[#This Row],[Unit Price (INR)]]</f>
        <v>33915</v>
      </c>
      <c r="L403" t="s">
        <v>1920</v>
      </c>
    </row>
    <row r="404" spans="1:12" x14ac:dyDescent="0.35">
      <c r="A404" t="s">
        <v>413</v>
      </c>
      <c r="B404" s="5">
        <v>45910</v>
      </c>
      <c r="C404" t="s">
        <v>1213</v>
      </c>
      <c r="D404" t="s">
        <v>1234</v>
      </c>
      <c r="E404" t="s">
        <v>1450</v>
      </c>
      <c r="F404" t="s">
        <v>1901</v>
      </c>
      <c r="G404" t="s">
        <v>1910</v>
      </c>
      <c r="H404" t="s">
        <v>1912</v>
      </c>
      <c r="I404" s="4">
        <v>48</v>
      </c>
      <c r="J404" s="3">
        <v>367</v>
      </c>
      <c r="K404" s="3">
        <f>Table1[[#This Row],[Quantity Sold]]*Table1[[#This Row],[Unit Price (INR)]]</f>
        <v>17616</v>
      </c>
      <c r="L404" t="s">
        <v>1920</v>
      </c>
    </row>
    <row r="405" spans="1:12" x14ac:dyDescent="0.35">
      <c r="A405" t="s">
        <v>414</v>
      </c>
      <c r="B405" s="5">
        <v>45911</v>
      </c>
      <c r="C405" t="s">
        <v>1214</v>
      </c>
      <c r="D405" t="s">
        <v>1226</v>
      </c>
      <c r="E405" t="s">
        <v>1577</v>
      </c>
      <c r="F405" t="s">
        <v>1906</v>
      </c>
      <c r="G405" t="s">
        <v>1911</v>
      </c>
      <c r="H405" t="s">
        <v>1914</v>
      </c>
      <c r="I405" s="4">
        <v>69</v>
      </c>
      <c r="J405" s="3">
        <v>339</v>
      </c>
      <c r="K405" s="3">
        <f>Table1[[#This Row],[Quantity Sold]]*Table1[[#This Row],[Unit Price (INR)]]</f>
        <v>23391</v>
      </c>
      <c r="L405" t="s">
        <v>1922</v>
      </c>
    </row>
    <row r="406" spans="1:12" x14ac:dyDescent="0.35">
      <c r="A406" t="s">
        <v>415</v>
      </c>
      <c r="B406" s="5">
        <v>45912</v>
      </c>
      <c r="C406" t="s">
        <v>1212</v>
      </c>
      <c r="D406" t="s">
        <v>1229</v>
      </c>
      <c r="E406" t="s">
        <v>1578</v>
      </c>
      <c r="F406" t="s">
        <v>1905</v>
      </c>
      <c r="G406" t="s">
        <v>1907</v>
      </c>
      <c r="H406" t="s">
        <v>1914</v>
      </c>
      <c r="I406" s="4">
        <v>75</v>
      </c>
      <c r="J406" s="3">
        <v>136</v>
      </c>
      <c r="K406" s="3">
        <f>Table1[[#This Row],[Quantity Sold]]*Table1[[#This Row],[Unit Price (INR)]]</f>
        <v>10200</v>
      </c>
      <c r="L406" t="s">
        <v>1920</v>
      </c>
    </row>
    <row r="407" spans="1:12" x14ac:dyDescent="0.35">
      <c r="A407" t="s">
        <v>416</v>
      </c>
      <c r="B407" s="5">
        <v>45913</v>
      </c>
      <c r="C407" t="s">
        <v>1214</v>
      </c>
      <c r="D407" t="s">
        <v>1222</v>
      </c>
      <c r="E407" t="s">
        <v>1579</v>
      </c>
      <c r="F407" t="s">
        <v>1902</v>
      </c>
      <c r="G407" t="s">
        <v>1911</v>
      </c>
      <c r="H407" t="s">
        <v>1915</v>
      </c>
      <c r="I407" s="4">
        <v>330</v>
      </c>
      <c r="J407" s="3">
        <v>419</v>
      </c>
      <c r="K407" s="3">
        <f>Table1[[#This Row],[Quantity Sold]]*Table1[[#This Row],[Unit Price (INR)]]</f>
        <v>138270</v>
      </c>
      <c r="L407" t="s">
        <v>1922</v>
      </c>
    </row>
    <row r="408" spans="1:12" x14ac:dyDescent="0.35">
      <c r="A408" t="s">
        <v>417</v>
      </c>
      <c r="B408" s="5">
        <v>45914</v>
      </c>
      <c r="C408" t="s">
        <v>1217</v>
      </c>
      <c r="D408" t="s">
        <v>1235</v>
      </c>
      <c r="E408" t="s">
        <v>1580</v>
      </c>
      <c r="F408" t="s">
        <v>1897</v>
      </c>
      <c r="G408" t="s">
        <v>1908</v>
      </c>
      <c r="H408" t="s">
        <v>1912</v>
      </c>
      <c r="I408" s="4">
        <v>444</v>
      </c>
      <c r="J408" s="3">
        <v>411</v>
      </c>
      <c r="K408" s="3">
        <f>Table1[[#This Row],[Quantity Sold]]*Table1[[#This Row],[Unit Price (INR)]]</f>
        <v>182484</v>
      </c>
      <c r="L408" t="s">
        <v>1923</v>
      </c>
    </row>
    <row r="409" spans="1:12" x14ac:dyDescent="0.35">
      <c r="A409" t="s">
        <v>418</v>
      </c>
      <c r="B409" s="5">
        <v>45915</v>
      </c>
      <c r="C409" t="s">
        <v>1217</v>
      </c>
      <c r="D409" t="s">
        <v>1238</v>
      </c>
      <c r="E409" t="s">
        <v>1581</v>
      </c>
      <c r="F409" t="s">
        <v>1901</v>
      </c>
      <c r="G409" t="s">
        <v>1908</v>
      </c>
      <c r="H409" t="s">
        <v>1913</v>
      </c>
      <c r="I409" s="4">
        <v>133</v>
      </c>
      <c r="J409" s="3">
        <v>105</v>
      </c>
      <c r="K409" s="3">
        <f>Table1[[#This Row],[Quantity Sold]]*Table1[[#This Row],[Unit Price (INR)]]</f>
        <v>13965</v>
      </c>
      <c r="L409" t="s">
        <v>1922</v>
      </c>
    </row>
    <row r="410" spans="1:12" x14ac:dyDescent="0.35">
      <c r="A410" t="s">
        <v>419</v>
      </c>
      <c r="B410" s="5">
        <v>45916</v>
      </c>
      <c r="C410" t="s">
        <v>1212</v>
      </c>
      <c r="D410" t="s">
        <v>1229</v>
      </c>
      <c r="E410" t="s">
        <v>1431</v>
      </c>
      <c r="F410" t="s">
        <v>1899</v>
      </c>
      <c r="G410" t="s">
        <v>1907</v>
      </c>
      <c r="H410" t="s">
        <v>1913</v>
      </c>
      <c r="I410" s="4">
        <v>173</v>
      </c>
      <c r="J410" s="3">
        <v>162</v>
      </c>
      <c r="K410" s="3">
        <f>Table1[[#This Row],[Quantity Sold]]*Table1[[#This Row],[Unit Price (INR)]]</f>
        <v>28026</v>
      </c>
      <c r="L410" t="s">
        <v>1920</v>
      </c>
    </row>
    <row r="411" spans="1:12" x14ac:dyDescent="0.35">
      <c r="A411" t="s">
        <v>420</v>
      </c>
      <c r="B411" s="5">
        <v>45917</v>
      </c>
      <c r="C411" t="s">
        <v>1212</v>
      </c>
      <c r="D411" t="s">
        <v>1229</v>
      </c>
      <c r="E411" t="s">
        <v>1582</v>
      </c>
      <c r="F411" t="s">
        <v>1905</v>
      </c>
      <c r="G411" t="s">
        <v>1910</v>
      </c>
      <c r="H411" t="s">
        <v>1919</v>
      </c>
      <c r="I411" s="4">
        <v>417</v>
      </c>
      <c r="J411" s="3">
        <v>62</v>
      </c>
      <c r="K411" s="3">
        <f>Table1[[#This Row],[Quantity Sold]]*Table1[[#This Row],[Unit Price (INR)]]</f>
        <v>25854</v>
      </c>
      <c r="L411" t="s">
        <v>1923</v>
      </c>
    </row>
    <row r="412" spans="1:12" x14ac:dyDescent="0.35">
      <c r="A412" t="s">
        <v>421</v>
      </c>
      <c r="B412" s="5">
        <v>45918</v>
      </c>
      <c r="C412" t="s">
        <v>1216</v>
      </c>
      <c r="D412" t="s">
        <v>1239</v>
      </c>
      <c r="E412" t="s">
        <v>1583</v>
      </c>
      <c r="F412" t="s">
        <v>1906</v>
      </c>
      <c r="G412" t="s">
        <v>1910</v>
      </c>
      <c r="H412" t="s">
        <v>1915</v>
      </c>
      <c r="I412" s="4">
        <v>420</v>
      </c>
      <c r="J412" s="3">
        <v>489</v>
      </c>
      <c r="K412" s="3">
        <f>Table1[[#This Row],[Quantity Sold]]*Table1[[#This Row],[Unit Price (INR)]]</f>
        <v>205380</v>
      </c>
      <c r="L412" t="s">
        <v>1923</v>
      </c>
    </row>
    <row r="413" spans="1:12" x14ac:dyDescent="0.35">
      <c r="A413" t="s">
        <v>422</v>
      </c>
      <c r="B413" s="5">
        <v>45919</v>
      </c>
      <c r="C413" t="s">
        <v>1213</v>
      </c>
      <c r="D413" t="s">
        <v>1220</v>
      </c>
      <c r="E413" t="s">
        <v>1330</v>
      </c>
      <c r="F413" t="s">
        <v>1905</v>
      </c>
      <c r="G413" t="s">
        <v>1909</v>
      </c>
      <c r="H413" t="s">
        <v>1912</v>
      </c>
      <c r="I413" s="4">
        <v>395</v>
      </c>
      <c r="J413" s="3">
        <v>67</v>
      </c>
      <c r="K413" s="3">
        <f>Table1[[#This Row],[Quantity Sold]]*Table1[[#This Row],[Unit Price (INR)]]</f>
        <v>26465</v>
      </c>
      <c r="L413" t="s">
        <v>1921</v>
      </c>
    </row>
    <row r="414" spans="1:12" x14ac:dyDescent="0.35">
      <c r="A414" t="s">
        <v>423</v>
      </c>
      <c r="B414" s="5">
        <v>45920</v>
      </c>
      <c r="C414" t="s">
        <v>1216</v>
      </c>
      <c r="D414" t="s">
        <v>1241</v>
      </c>
      <c r="E414" t="s">
        <v>1373</v>
      </c>
      <c r="F414" t="s">
        <v>1897</v>
      </c>
      <c r="G414" t="s">
        <v>1907</v>
      </c>
      <c r="H414" t="s">
        <v>1917</v>
      </c>
      <c r="I414" s="4">
        <v>168</v>
      </c>
      <c r="J414" s="3">
        <v>231</v>
      </c>
      <c r="K414" s="3">
        <f>Table1[[#This Row],[Quantity Sold]]*Table1[[#This Row],[Unit Price (INR)]]</f>
        <v>38808</v>
      </c>
      <c r="L414" t="s">
        <v>1921</v>
      </c>
    </row>
    <row r="415" spans="1:12" x14ac:dyDescent="0.35">
      <c r="A415" t="s">
        <v>424</v>
      </c>
      <c r="B415" s="5">
        <v>45921</v>
      </c>
      <c r="C415" t="s">
        <v>1213</v>
      </c>
      <c r="D415" t="s">
        <v>1234</v>
      </c>
      <c r="E415" t="s">
        <v>1456</v>
      </c>
      <c r="F415" t="s">
        <v>1906</v>
      </c>
      <c r="G415" t="s">
        <v>1911</v>
      </c>
      <c r="H415" t="s">
        <v>1919</v>
      </c>
      <c r="I415" s="4">
        <v>66</v>
      </c>
      <c r="J415" s="3">
        <v>162</v>
      </c>
      <c r="K415" s="3">
        <f>Table1[[#This Row],[Quantity Sold]]*Table1[[#This Row],[Unit Price (INR)]]</f>
        <v>10692</v>
      </c>
      <c r="L415" t="s">
        <v>1920</v>
      </c>
    </row>
    <row r="416" spans="1:12" x14ac:dyDescent="0.35">
      <c r="A416" t="s">
        <v>425</v>
      </c>
      <c r="B416" s="5">
        <v>45922</v>
      </c>
      <c r="C416" t="s">
        <v>1216</v>
      </c>
      <c r="D416" t="s">
        <v>1239</v>
      </c>
      <c r="E416" t="s">
        <v>1584</v>
      </c>
      <c r="F416" t="s">
        <v>1897</v>
      </c>
      <c r="G416" t="s">
        <v>1907</v>
      </c>
      <c r="H416" t="s">
        <v>1915</v>
      </c>
      <c r="I416" s="4">
        <v>87</v>
      </c>
      <c r="J416" s="3">
        <v>278</v>
      </c>
      <c r="K416" s="3">
        <f>Table1[[#This Row],[Quantity Sold]]*Table1[[#This Row],[Unit Price (INR)]]</f>
        <v>24186</v>
      </c>
      <c r="L416" t="s">
        <v>1922</v>
      </c>
    </row>
    <row r="417" spans="1:12" x14ac:dyDescent="0.35">
      <c r="A417" t="s">
        <v>426</v>
      </c>
      <c r="B417" s="5">
        <v>45923</v>
      </c>
      <c r="C417" t="s">
        <v>1214</v>
      </c>
      <c r="D417" t="s">
        <v>1228</v>
      </c>
      <c r="E417" t="s">
        <v>1529</v>
      </c>
      <c r="F417" t="s">
        <v>1905</v>
      </c>
      <c r="G417" t="s">
        <v>1909</v>
      </c>
      <c r="H417" t="s">
        <v>1912</v>
      </c>
      <c r="I417" s="4">
        <v>203</v>
      </c>
      <c r="J417" s="3">
        <v>220</v>
      </c>
      <c r="K417" s="3">
        <f>Table1[[#This Row],[Quantity Sold]]*Table1[[#This Row],[Unit Price (INR)]]</f>
        <v>44660</v>
      </c>
      <c r="L417" t="s">
        <v>1922</v>
      </c>
    </row>
    <row r="418" spans="1:12" x14ac:dyDescent="0.35">
      <c r="A418" t="s">
        <v>427</v>
      </c>
      <c r="B418" s="5">
        <v>45924</v>
      </c>
      <c r="C418" t="s">
        <v>1212</v>
      </c>
      <c r="D418" t="s">
        <v>1229</v>
      </c>
      <c r="E418" t="s">
        <v>1344</v>
      </c>
      <c r="F418" t="s">
        <v>1902</v>
      </c>
      <c r="G418" t="s">
        <v>1907</v>
      </c>
      <c r="H418" t="s">
        <v>1912</v>
      </c>
      <c r="I418" s="4">
        <v>294</v>
      </c>
      <c r="J418" s="3">
        <v>344</v>
      </c>
      <c r="K418" s="3">
        <f>Table1[[#This Row],[Quantity Sold]]*Table1[[#This Row],[Unit Price (INR)]]</f>
        <v>101136</v>
      </c>
      <c r="L418" t="s">
        <v>1920</v>
      </c>
    </row>
    <row r="419" spans="1:12" x14ac:dyDescent="0.35">
      <c r="A419" t="s">
        <v>428</v>
      </c>
      <c r="B419" s="5">
        <v>45925</v>
      </c>
      <c r="C419" t="s">
        <v>1217</v>
      </c>
      <c r="D419" t="s">
        <v>1237</v>
      </c>
      <c r="E419" t="s">
        <v>1585</v>
      </c>
      <c r="F419" t="s">
        <v>1897</v>
      </c>
      <c r="G419" t="s">
        <v>1907</v>
      </c>
      <c r="H419" t="s">
        <v>1919</v>
      </c>
      <c r="I419" s="4">
        <v>24</v>
      </c>
      <c r="J419" s="3">
        <v>238</v>
      </c>
      <c r="K419" s="3">
        <f>Table1[[#This Row],[Quantity Sold]]*Table1[[#This Row],[Unit Price (INR)]]</f>
        <v>5712</v>
      </c>
      <c r="L419" t="s">
        <v>1923</v>
      </c>
    </row>
    <row r="420" spans="1:12" x14ac:dyDescent="0.35">
      <c r="A420" t="s">
        <v>429</v>
      </c>
      <c r="B420" s="5">
        <v>45926</v>
      </c>
      <c r="C420" t="s">
        <v>1213</v>
      </c>
      <c r="D420" t="s">
        <v>1244</v>
      </c>
      <c r="E420" t="s">
        <v>1586</v>
      </c>
      <c r="F420" t="s">
        <v>1906</v>
      </c>
      <c r="G420" t="s">
        <v>1909</v>
      </c>
      <c r="H420" t="s">
        <v>1917</v>
      </c>
      <c r="I420" s="4">
        <v>21</v>
      </c>
      <c r="J420" s="3">
        <v>475</v>
      </c>
      <c r="K420" s="3">
        <f>Table1[[#This Row],[Quantity Sold]]*Table1[[#This Row],[Unit Price (INR)]]</f>
        <v>9975</v>
      </c>
      <c r="L420" t="s">
        <v>1920</v>
      </c>
    </row>
    <row r="421" spans="1:12" x14ac:dyDescent="0.35">
      <c r="A421" t="s">
        <v>430</v>
      </c>
      <c r="B421" s="5">
        <v>45927</v>
      </c>
      <c r="C421" t="s">
        <v>1213</v>
      </c>
      <c r="D421" t="s">
        <v>1220</v>
      </c>
      <c r="E421" t="s">
        <v>1587</v>
      </c>
      <c r="F421" t="s">
        <v>1906</v>
      </c>
      <c r="G421" t="s">
        <v>1910</v>
      </c>
      <c r="H421" t="s">
        <v>1915</v>
      </c>
      <c r="I421" s="4">
        <v>110</v>
      </c>
      <c r="J421" s="3">
        <v>128</v>
      </c>
      <c r="K421" s="3">
        <f>Table1[[#This Row],[Quantity Sold]]*Table1[[#This Row],[Unit Price (INR)]]</f>
        <v>14080</v>
      </c>
      <c r="L421" t="s">
        <v>1920</v>
      </c>
    </row>
    <row r="422" spans="1:12" x14ac:dyDescent="0.35">
      <c r="A422" t="s">
        <v>431</v>
      </c>
      <c r="B422" s="5">
        <v>45928</v>
      </c>
      <c r="C422" t="s">
        <v>1217</v>
      </c>
      <c r="D422" t="s">
        <v>1237</v>
      </c>
      <c r="E422" t="s">
        <v>1351</v>
      </c>
      <c r="F422" t="s">
        <v>1897</v>
      </c>
      <c r="G422" t="s">
        <v>1911</v>
      </c>
      <c r="H422" t="s">
        <v>1912</v>
      </c>
      <c r="I422" s="4">
        <v>165</v>
      </c>
      <c r="J422" s="3">
        <v>195</v>
      </c>
      <c r="K422" s="3">
        <f>Table1[[#This Row],[Quantity Sold]]*Table1[[#This Row],[Unit Price (INR)]]</f>
        <v>32175</v>
      </c>
      <c r="L422" t="s">
        <v>1923</v>
      </c>
    </row>
    <row r="423" spans="1:12" x14ac:dyDescent="0.35">
      <c r="A423" t="s">
        <v>432</v>
      </c>
      <c r="B423" s="5">
        <v>45929</v>
      </c>
      <c r="C423" t="s">
        <v>1216</v>
      </c>
      <c r="D423" t="s">
        <v>1230</v>
      </c>
      <c r="E423" t="s">
        <v>1490</v>
      </c>
      <c r="F423" t="s">
        <v>1900</v>
      </c>
      <c r="G423" t="s">
        <v>1909</v>
      </c>
      <c r="H423" t="s">
        <v>1912</v>
      </c>
      <c r="I423" s="4">
        <v>349</v>
      </c>
      <c r="J423" s="3">
        <v>456</v>
      </c>
      <c r="K423" s="3">
        <f>Table1[[#This Row],[Quantity Sold]]*Table1[[#This Row],[Unit Price (INR)]]</f>
        <v>159144</v>
      </c>
      <c r="L423" t="s">
        <v>1922</v>
      </c>
    </row>
    <row r="424" spans="1:12" x14ac:dyDescent="0.35">
      <c r="A424" t="s">
        <v>433</v>
      </c>
      <c r="B424" s="5">
        <v>45930</v>
      </c>
      <c r="C424" t="s">
        <v>1213</v>
      </c>
      <c r="D424" t="s">
        <v>1220</v>
      </c>
      <c r="E424" t="s">
        <v>1586</v>
      </c>
      <c r="F424" t="s">
        <v>1905</v>
      </c>
      <c r="G424" t="s">
        <v>1908</v>
      </c>
      <c r="H424" t="s">
        <v>1915</v>
      </c>
      <c r="I424" s="4">
        <v>134</v>
      </c>
      <c r="J424" s="3">
        <v>231</v>
      </c>
      <c r="K424" s="3">
        <f>Table1[[#This Row],[Quantity Sold]]*Table1[[#This Row],[Unit Price (INR)]]</f>
        <v>30954</v>
      </c>
      <c r="L424" t="s">
        <v>1920</v>
      </c>
    </row>
    <row r="425" spans="1:12" x14ac:dyDescent="0.35">
      <c r="A425" t="s">
        <v>434</v>
      </c>
      <c r="B425" s="5">
        <v>45931</v>
      </c>
      <c r="C425" t="s">
        <v>1211</v>
      </c>
      <c r="D425" t="s">
        <v>1218</v>
      </c>
      <c r="E425" t="s">
        <v>1588</v>
      </c>
      <c r="F425" t="s">
        <v>1900</v>
      </c>
      <c r="G425" t="s">
        <v>1910</v>
      </c>
      <c r="H425" t="s">
        <v>1916</v>
      </c>
      <c r="I425" s="4">
        <v>368</v>
      </c>
      <c r="J425" s="3">
        <v>335</v>
      </c>
      <c r="K425" s="3">
        <f>Table1[[#This Row],[Quantity Sold]]*Table1[[#This Row],[Unit Price (INR)]]</f>
        <v>123280</v>
      </c>
      <c r="L425" t="s">
        <v>1922</v>
      </c>
    </row>
    <row r="426" spans="1:12" x14ac:dyDescent="0.35">
      <c r="A426" t="s">
        <v>435</v>
      </c>
      <c r="B426" s="5">
        <v>45932</v>
      </c>
      <c r="C426" t="s">
        <v>1214</v>
      </c>
      <c r="D426" t="s">
        <v>1222</v>
      </c>
      <c r="E426" t="s">
        <v>1589</v>
      </c>
      <c r="F426" t="s">
        <v>1903</v>
      </c>
      <c r="G426" t="s">
        <v>1908</v>
      </c>
      <c r="H426" t="s">
        <v>1919</v>
      </c>
      <c r="I426" s="4">
        <v>289</v>
      </c>
      <c r="J426" s="3">
        <v>299</v>
      </c>
      <c r="K426" s="3">
        <f>Table1[[#This Row],[Quantity Sold]]*Table1[[#This Row],[Unit Price (INR)]]</f>
        <v>86411</v>
      </c>
      <c r="L426" t="s">
        <v>1920</v>
      </c>
    </row>
    <row r="427" spans="1:12" x14ac:dyDescent="0.35">
      <c r="A427" t="s">
        <v>436</v>
      </c>
      <c r="B427" s="5">
        <v>45933</v>
      </c>
      <c r="C427" t="s">
        <v>1212</v>
      </c>
      <c r="D427" t="s">
        <v>1233</v>
      </c>
      <c r="E427" t="s">
        <v>1590</v>
      </c>
      <c r="F427" t="s">
        <v>1905</v>
      </c>
      <c r="G427" t="s">
        <v>1910</v>
      </c>
      <c r="H427" t="s">
        <v>1919</v>
      </c>
      <c r="I427" s="4">
        <v>414</v>
      </c>
      <c r="J427" s="3">
        <v>403</v>
      </c>
      <c r="K427" s="3">
        <f>Table1[[#This Row],[Quantity Sold]]*Table1[[#This Row],[Unit Price (INR)]]</f>
        <v>166842</v>
      </c>
      <c r="L427" t="s">
        <v>1923</v>
      </c>
    </row>
    <row r="428" spans="1:12" x14ac:dyDescent="0.35">
      <c r="A428" t="s">
        <v>437</v>
      </c>
      <c r="B428" s="5">
        <v>45934</v>
      </c>
      <c r="C428" t="s">
        <v>1217</v>
      </c>
      <c r="D428" t="s">
        <v>1245</v>
      </c>
      <c r="E428" t="s">
        <v>1591</v>
      </c>
      <c r="F428" t="s">
        <v>1897</v>
      </c>
      <c r="G428" t="s">
        <v>1911</v>
      </c>
      <c r="H428" t="s">
        <v>1914</v>
      </c>
      <c r="I428" s="4">
        <v>403</v>
      </c>
      <c r="J428" s="3">
        <v>363</v>
      </c>
      <c r="K428" s="3">
        <f>Table1[[#This Row],[Quantity Sold]]*Table1[[#This Row],[Unit Price (INR)]]</f>
        <v>146289</v>
      </c>
      <c r="L428" t="s">
        <v>1923</v>
      </c>
    </row>
    <row r="429" spans="1:12" x14ac:dyDescent="0.35">
      <c r="A429" t="s">
        <v>438</v>
      </c>
      <c r="B429" s="5">
        <v>45935</v>
      </c>
      <c r="C429" t="s">
        <v>1212</v>
      </c>
      <c r="D429" t="s">
        <v>1233</v>
      </c>
      <c r="E429" t="s">
        <v>1592</v>
      </c>
      <c r="F429" t="s">
        <v>1898</v>
      </c>
      <c r="G429" t="s">
        <v>1911</v>
      </c>
      <c r="H429" t="s">
        <v>1917</v>
      </c>
      <c r="I429" s="4">
        <v>119</v>
      </c>
      <c r="J429" s="3">
        <v>245</v>
      </c>
      <c r="K429" s="3">
        <f>Table1[[#This Row],[Quantity Sold]]*Table1[[#This Row],[Unit Price (INR)]]</f>
        <v>29155</v>
      </c>
      <c r="L429" t="s">
        <v>1921</v>
      </c>
    </row>
    <row r="430" spans="1:12" x14ac:dyDescent="0.35">
      <c r="A430" t="s">
        <v>439</v>
      </c>
      <c r="B430" s="5">
        <v>45936</v>
      </c>
      <c r="C430" t="s">
        <v>1211</v>
      </c>
      <c r="D430" t="s">
        <v>1218</v>
      </c>
      <c r="E430" t="s">
        <v>1593</v>
      </c>
      <c r="F430" t="s">
        <v>1897</v>
      </c>
      <c r="G430" t="s">
        <v>1907</v>
      </c>
      <c r="H430" t="s">
        <v>1918</v>
      </c>
      <c r="I430" s="4">
        <v>343</v>
      </c>
      <c r="J430" s="3">
        <v>372</v>
      </c>
      <c r="K430" s="3">
        <f>Table1[[#This Row],[Quantity Sold]]*Table1[[#This Row],[Unit Price (INR)]]</f>
        <v>127596</v>
      </c>
      <c r="L430" t="s">
        <v>1923</v>
      </c>
    </row>
    <row r="431" spans="1:12" x14ac:dyDescent="0.35">
      <c r="A431" t="s">
        <v>440</v>
      </c>
      <c r="B431" s="5">
        <v>45937</v>
      </c>
      <c r="C431" t="s">
        <v>1213</v>
      </c>
      <c r="D431" t="s">
        <v>1223</v>
      </c>
      <c r="E431" t="s">
        <v>1594</v>
      </c>
      <c r="F431" t="s">
        <v>1900</v>
      </c>
      <c r="G431" t="s">
        <v>1908</v>
      </c>
      <c r="H431" t="s">
        <v>1916</v>
      </c>
      <c r="I431" s="4">
        <v>366</v>
      </c>
      <c r="J431" s="3">
        <v>120</v>
      </c>
      <c r="K431" s="3">
        <f>Table1[[#This Row],[Quantity Sold]]*Table1[[#This Row],[Unit Price (INR)]]</f>
        <v>43920</v>
      </c>
      <c r="L431" t="s">
        <v>1921</v>
      </c>
    </row>
    <row r="432" spans="1:12" x14ac:dyDescent="0.35">
      <c r="A432" t="s">
        <v>441</v>
      </c>
      <c r="B432" s="5">
        <v>45938</v>
      </c>
      <c r="C432" t="s">
        <v>1213</v>
      </c>
      <c r="D432" t="s">
        <v>1244</v>
      </c>
      <c r="E432" t="s">
        <v>1352</v>
      </c>
      <c r="F432" t="s">
        <v>1902</v>
      </c>
      <c r="G432" t="s">
        <v>1910</v>
      </c>
      <c r="H432" t="s">
        <v>1915</v>
      </c>
      <c r="I432" s="4">
        <v>155</v>
      </c>
      <c r="J432" s="3">
        <v>297</v>
      </c>
      <c r="K432" s="3">
        <f>Table1[[#This Row],[Quantity Sold]]*Table1[[#This Row],[Unit Price (INR)]]</f>
        <v>46035</v>
      </c>
      <c r="L432" t="s">
        <v>1920</v>
      </c>
    </row>
    <row r="433" spans="1:12" x14ac:dyDescent="0.35">
      <c r="A433" t="s">
        <v>442</v>
      </c>
      <c r="B433" s="5">
        <v>45939</v>
      </c>
      <c r="C433" t="s">
        <v>1211</v>
      </c>
      <c r="D433" t="s">
        <v>1224</v>
      </c>
      <c r="E433" t="s">
        <v>1555</v>
      </c>
      <c r="F433" t="s">
        <v>1897</v>
      </c>
      <c r="G433" t="s">
        <v>1911</v>
      </c>
      <c r="H433" t="s">
        <v>1915</v>
      </c>
      <c r="I433" s="4">
        <v>225</v>
      </c>
      <c r="J433" s="3">
        <v>195</v>
      </c>
      <c r="K433" s="3">
        <f>Table1[[#This Row],[Quantity Sold]]*Table1[[#This Row],[Unit Price (INR)]]</f>
        <v>43875</v>
      </c>
      <c r="L433" t="s">
        <v>1922</v>
      </c>
    </row>
    <row r="434" spans="1:12" x14ac:dyDescent="0.35">
      <c r="A434" t="s">
        <v>443</v>
      </c>
      <c r="B434" s="5">
        <v>45940</v>
      </c>
      <c r="C434" t="s">
        <v>1217</v>
      </c>
      <c r="D434" t="s">
        <v>1245</v>
      </c>
      <c r="E434" t="s">
        <v>1462</v>
      </c>
      <c r="F434" t="s">
        <v>1897</v>
      </c>
      <c r="G434" t="s">
        <v>1909</v>
      </c>
      <c r="H434" t="s">
        <v>1915</v>
      </c>
      <c r="I434" s="4">
        <v>407</v>
      </c>
      <c r="J434" s="3">
        <v>155</v>
      </c>
      <c r="K434" s="3">
        <f>Table1[[#This Row],[Quantity Sold]]*Table1[[#This Row],[Unit Price (INR)]]</f>
        <v>63085</v>
      </c>
      <c r="L434" t="s">
        <v>1923</v>
      </c>
    </row>
    <row r="435" spans="1:12" x14ac:dyDescent="0.35">
      <c r="A435" t="s">
        <v>444</v>
      </c>
      <c r="B435" s="5">
        <v>45941</v>
      </c>
      <c r="C435" t="s">
        <v>1214</v>
      </c>
      <c r="D435" t="s">
        <v>1222</v>
      </c>
      <c r="E435" t="s">
        <v>1595</v>
      </c>
      <c r="F435" t="s">
        <v>1902</v>
      </c>
      <c r="G435" t="s">
        <v>1911</v>
      </c>
      <c r="H435" t="s">
        <v>1916</v>
      </c>
      <c r="I435" s="4">
        <v>171</v>
      </c>
      <c r="J435" s="3">
        <v>312</v>
      </c>
      <c r="K435" s="3">
        <f>Table1[[#This Row],[Quantity Sold]]*Table1[[#This Row],[Unit Price (INR)]]</f>
        <v>53352</v>
      </c>
      <c r="L435" t="s">
        <v>1923</v>
      </c>
    </row>
    <row r="436" spans="1:12" x14ac:dyDescent="0.35">
      <c r="A436" t="s">
        <v>445</v>
      </c>
      <c r="B436" s="5">
        <v>45942</v>
      </c>
      <c r="C436" t="s">
        <v>1215</v>
      </c>
      <c r="D436" t="s">
        <v>1231</v>
      </c>
      <c r="E436" t="s">
        <v>1596</v>
      </c>
      <c r="F436" t="s">
        <v>1897</v>
      </c>
      <c r="G436" t="s">
        <v>1909</v>
      </c>
      <c r="H436" t="s">
        <v>1912</v>
      </c>
      <c r="I436" s="4">
        <v>137</v>
      </c>
      <c r="J436" s="3">
        <v>345</v>
      </c>
      <c r="K436" s="3">
        <f>Table1[[#This Row],[Quantity Sold]]*Table1[[#This Row],[Unit Price (INR)]]</f>
        <v>47265</v>
      </c>
      <c r="L436" t="s">
        <v>1923</v>
      </c>
    </row>
    <row r="437" spans="1:12" x14ac:dyDescent="0.35">
      <c r="A437" t="s">
        <v>446</v>
      </c>
      <c r="B437" s="5">
        <v>45943</v>
      </c>
      <c r="C437" t="s">
        <v>1217</v>
      </c>
      <c r="D437" t="s">
        <v>1235</v>
      </c>
      <c r="E437" t="s">
        <v>1403</v>
      </c>
      <c r="F437" t="s">
        <v>1901</v>
      </c>
      <c r="G437" t="s">
        <v>1910</v>
      </c>
      <c r="H437" t="s">
        <v>1915</v>
      </c>
      <c r="I437" s="4">
        <v>323</v>
      </c>
      <c r="J437" s="3">
        <v>119</v>
      </c>
      <c r="K437" s="3">
        <f>Table1[[#This Row],[Quantity Sold]]*Table1[[#This Row],[Unit Price (INR)]]</f>
        <v>38437</v>
      </c>
      <c r="L437" t="s">
        <v>1920</v>
      </c>
    </row>
    <row r="438" spans="1:12" x14ac:dyDescent="0.35">
      <c r="A438" t="s">
        <v>447</v>
      </c>
      <c r="B438" s="5">
        <v>45944</v>
      </c>
      <c r="C438" t="s">
        <v>1215</v>
      </c>
      <c r="D438" t="s">
        <v>1243</v>
      </c>
      <c r="E438" t="s">
        <v>1597</v>
      </c>
      <c r="F438" t="s">
        <v>1898</v>
      </c>
      <c r="G438" t="s">
        <v>1911</v>
      </c>
      <c r="H438" t="s">
        <v>1915</v>
      </c>
      <c r="I438" s="4">
        <v>341</v>
      </c>
      <c r="J438" s="3">
        <v>242</v>
      </c>
      <c r="K438" s="3">
        <f>Table1[[#This Row],[Quantity Sold]]*Table1[[#This Row],[Unit Price (INR)]]</f>
        <v>82522</v>
      </c>
      <c r="L438" t="s">
        <v>1921</v>
      </c>
    </row>
    <row r="439" spans="1:12" x14ac:dyDescent="0.35">
      <c r="A439" t="s">
        <v>448</v>
      </c>
      <c r="B439" s="5">
        <v>45945</v>
      </c>
      <c r="C439" t="s">
        <v>1211</v>
      </c>
      <c r="D439" t="s">
        <v>1224</v>
      </c>
      <c r="E439" t="s">
        <v>1598</v>
      </c>
      <c r="F439" t="s">
        <v>1899</v>
      </c>
      <c r="G439" t="s">
        <v>1911</v>
      </c>
      <c r="H439" t="s">
        <v>1917</v>
      </c>
      <c r="I439" s="4">
        <v>159</v>
      </c>
      <c r="J439" s="3">
        <v>117</v>
      </c>
      <c r="K439" s="3">
        <f>Table1[[#This Row],[Quantity Sold]]*Table1[[#This Row],[Unit Price (INR)]]</f>
        <v>18603</v>
      </c>
      <c r="L439" t="s">
        <v>1920</v>
      </c>
    </row>
    <row r="440" spans="1:12" x14ac:dyDescent="0.35">
      <c r="A440" t="s">
        <v>449</v>
      </c>
      <c r="B440" s="5">
        <v>45946</v>
      </c>
      <c r="C440" t="s">
        <v>1216</v>
      </c>
      <c r="D440" t="s">
        <v>1241</v>
      </c>
      <c r="E440" t="s">
        <v>1548</v>
      </c>
      <c r="F440" t="s">
        <v>1898</v>
      </c>
      <c r="G440" t="s">
        <v>1910</v>
      </c>
      <c r="H440" t="s">
        <v>1913</v>
      </c>
      <c r="I440" s="4">
        <v>463</v>
      </c>
      <c r="J440" s="3">
        <v>354</v>
      </c>
      <c r="K440" s="3">
        <f>Table1[[#This Row],[Quantity Sold]]*Table1[[#This Row],[Unit Price (INR)]]</f>
        <v>163902</v>
      </c>
      <c r="L440" t="s">
        <v>1922</v>
      </c>
    </row>
    <row r="441" spans="1:12" x14ac:dyDescent="0.35">
      <c r="A441" t="s">
        <v>450</v>
      </c>
      <c r="B441" s="5">
        <v>45947</v>
      </c>
      <c r="C441" t="s">
        <v>1215</v>
      </c>
      <c r="D441" t="s">
        <v>1242</v>
      </c>
      <c r="E441" t="s">
        <v>1599</v>
      </c>
      <c r="F441" t="s">
        <v>1897</v>
      </c>
      <c r="G441" t="s">
        <v>1911</v>
      </c>
      <c r="H441" t="s">
        <v>1913</v>
      </c>
      <c r="I441" s="4">
        <v>45</v>
      </c>
      <c r="J441" s="3">
        <v>101</v>
      </c>
      <c r="K441" s="3">
        <f>Table1[[#This Row],[Quantity Sold]]*Table1[[#This Row],[Unit Price (INR)]]</f>
        <v>4545</v>
      </c>
      <c r="L441" t="s">
        <v>1920</v>
      </c>
    </row>
    <row r="442" spans="1:12" x14ac:dyDescent="0.35">
      <c r="A442" t="s">
        <v>451</v>
      </c>
      <c r="B442" s="5">
        <v>45948</v>
      </c>
      <c r="C442" t="s">
        <v>1214</v>
      </c>
      <c r="D442" t="s">
        <v>1227</v>
      </c>
      <c r="E442" t="s">
        <v>1600</v>
      </c>
      <c r="F442" t="s">
        <v>1901</v>
      </c>
      <c r="G442" t="s">
        <v>1909</v>
      </c>
      <c r="H442" t="s">
        <v>1914</v>
      </c>
      <c r="I442" s="4">
        <v>182</v>
      </c>
      <c r="J442" s="3">
        <v>419</v>
      </c>
      <c r="K442" s="3">
        <f>Table1[[#This Row],[Quantity Sold]]*Table1[[#This Row],[Unit Price (INR)]]</f>
        <v>76258</v>
      </c>
      <c r="L442" t="s">
        <v>1922</v>
      </c>
    </row>
    <row r="443" spans="1:12" x14ac:dyDescent="0.35">
      <c r="A443" t="s">
        <v>452</v>
      </c>
      <c r="B443" s="5">
        <v>45949</v>
      </c>
      <c r="C443" t="s">
        <v>1216</v>
      </c>
      <c r="D443" t="s">
        <v>1241</v>
      </c>
      <c r="E443" t="s">
        <v>1491</v>
      </c>
      <c r="F443" t="s">
        <v>1905</v>
      </c>
      <c r="G443" t="s">
        <v>1911</v>
      </c>
      <c r="H443" t="s">
        <v>1914</v>
      </c>
      <c r="I443" s="4">
        <v>429</v>
      </c>
      <c r="J443" s="3">
        <v>412</v>
      </c>
      <c r="K443" s="3">
        <f>Table1[[#This Row],[Quantity Sold]]*Table1[[#This Row],[Unit Price (INR)]]</f>
        <v>176748</v>
      </c>
      <c r="L443" t="s">
        <v>1923</v>
      </c>
    </row>
    <row r="444" spans="1:12" x14ac:dyDescent="0.35">
      <c r="A444" t="s">
        <v>453</v>
      </c>
      <c r="B444" s="5">
        <v>45950</v>
      </c>
      <c r="C444" t="s">
        <v>1215</v>
      </c>
      <c r="D444" t="s">
        <v>1225</v>
      </c>
      <c r="E444" t="s">
        <v>1601</v>
      </c>
      <c r="F444" t="s">
        <v>1897</v>
      </c>
      <c r="G444" t="s">
        <v>1908</v>
      </c>
      <c r="H444" t="s">
        <v>1915</v>
      </c>
      <c r="I444" s="4">
        <v>31</v>
      </c>
      <c r="J444" s="3">
        <v>334</v>
      </c>
      <c r="K444" s="3">
        <f>Table1[[#This Row],[Quantity Sold]]*Table1[[#This Row],[Unit Price (INR)]]</f>
        <v>10354</v>
      </c>
      <c r="L444" t="s">
        <v>1922</v>
      </c>
    </row>
    <row r="445" spans="1:12" x14ac:dyDescent="0.35">
      <c r="A445" t="s">
        <v>454</v>
      </c>
      <c r="B445" s="5">
        <v>45951</v>
      </c>
      <c r="C445" t="s">
        <v>1211</v>
      </c>
      <c r="D445" t="s">
        <v>1221</v>
      </c>
      <c r="E445" t="s">
        <v>1602</v>
      </c>
      <c r="F445" t="s">
        <v>1900</v>
      </c>
      <c r="G445" t="s">
        <v>1907</v>
      </c>
      <c r="H445" t="s">
        <v>1917</v>
      </c>
      <c r="I445" s="4">
        <v>215</v>
      </c>
      <c r="J445" s="3">
        <v>454</v>
      </c>
      <c r="K445" s="3">
        <f>Table1[[#This Row],[Quantity Sold]]*Table1[[#This Row],[Unit Price (INR)]]</f>
        <v>97610</v>
      </c>
      <c r="L445" t="s">
        <v>1922</v>
      </c>
    </row>
    <row r="446" spans="1:12" x14ac:dyDescent="0.35">
      <c r="A446" t="s">
        <v>455</v>
      </c>
      <c r="B446" s="5">
        <v>45952</v>
      </c>
      <c r="C446" t="s">
        <v>1216</v>
      </c>
      <c r="D446" t="s">
        <v>1239</v>
      </c>
      <c r="E446" t="s">
        <v>1603</v>
      </c>
      <c r="F446" t="s">
        <v>1901</v>
      </c>
      <c r="G446" t="s">
        <v>1909</v>
      </c>
      <c r="H446" t="s">
        <v>1915</v>
      </c>
      <c r="I446" s="4">
        <v>136</v>
      </c>
      <c r="J446" s="3">
        <v>383</v>
      </c>
      <c r="K446" s="3">
        <f>Table1[[#This Row],[Quantity Sold]]*Table1[[#This Row],[Unit Price (INR)]]</f>
        <v>52088</v>
      </c>
      <c r="L446" t="s">
        <v>1921</v>
      </c>
    </row>
    <row r="447" spans="1:12" x14ac:dyDescent="0.35">
      <c r="A447" t="s">
        <v>456</v>
      </c>
      <c r="B447" s="5">
        <v>45953</v>
      </c>
      <c r="C447" t="s">
        <v>1211</v>
      </c>
      <c r="D447" t="s">
        <v>1221</v>
      </c>
      <c r="E447" t="s">
        <v>1277</v>
      </c>
      <c r="F447" t="s">
        <v>1902</v>
      </c>
      <c r="G447" t="s">
        <v>1908</v>
      </c>
      <c r="H447" t="s">
        <v>1914</v>
      </c>
      <c r="I447" s="4">
        <v>345</v>
      </c>
      <c r="J447" s="3">
        <v>58</v>
      </c>
      <c r="K447" s="3">
        <f>Table1[[#This Row],[Quantity Sold]]*Table1[[#This Row],[Unit Price (INR)]]</f>
        <v>20010</v>
      </c>
      <c r="L447" t="s">
        <v>1922</v>
      </c>
    </row>
    <row r="448" spans="1:12" x14ac:dyDescent="0.35">
      <c r="A448" t="s">
        <v>457</v>
      </c>
      <c r="B448" s="5">
        <v>45954</v>
      </c>
      <c r="C448" t="s">
        <v>1215</v>
      </c>
      <c r="D448" t="s">
        <v>1236</v>
      </c>
      <c r="E448" t="s">
        <v>1604</v>
      </c>
      <c r="F448" t="s">
        <v>1901</v>
      </c>
      <c r="G448" t="s">
        <v>1910</v>
      </c>
      <c r="H448" t="s">
        <v>1916</v>
      </c>
      <c r="I448" s="4">
        <v>454</v>
      </c>
      <c r="J448" s="3">
        <v>300</v>
      </c>
      <c r="K448" s="3">
        <f>Table1[[#This Row],[Quantity Sold]]*Table1[[#This Row],[Unit Price (INR)]]</f>
        <v>136200</v>
      </c>
      <c r="L448" t="s">
        <v>1922</v>
      </c>
    </row>
    <row r="449" spans="1:12" x14ac:dyDescent="0.35">
      <c r="A449" t="s">
        <v>458</v>
      </c>
      <c r="B449" s="5">
        <v>45955</v>
      </c>
      <c r="C449" t="s">
        <v>1211</v>
      </c>
      <c r="D449" t="s">
        <v>1221</v>
      </c>
      <c r="E449" t="s">
        <v>1259</v>
      </c>
      <c r="F449" t="s">
        <v>1902</v>
      </c>
      <c r="G449" t="s">
        <v>1909</v>
      </c>
      <c r="H449" t="s">
        <v>1916</v>
      </c>
      <c r="I449" s="4">
        <v>365</v>
      </c>
      <c r="J449" s="3">
        <v>480</v>
      </c>
      <c r="K449" s="3">
        <f>Table1[[#This Row],[Quantity Sold]]*Table1[[#This Row],[Unit Price (INR)]]</f>
        <v>175200</v>
      </c>
      <c r="L449" t="s">
        <v>1920</v>
      </c>
    </row>
    <row r="450" spans="1:12" x14ac:dyDescent="0.35">
      <c r="A450" t="s">
        <v>459</v>
      </c>
      <c r="B450" s="5">
        <v>45956</v>
      </c>
      <c r="C450" t="s">
        <v>1214</v>
      </c>
      <c r="D450" t="s">
        <v>1226</v>
      </c>
      <c r="E450" t="s">
        <v>1432</v>
      </c>
      <c r="F450" t="s">
        <v>1903</v>
      </c>
      <c r="G450" t="s">
        <v>1907</v>
      </c>
      <c r="H450" t="s">
        <v>1912</v>
      </c>
      <c r="I450" s="4">
        <v>449</v>
      </c>
      <c r="J450" s="3">
        <v>381</v>
      </c>
      <c r="K450" s="3">
        <f>Table1[[#This Row],[Quantity Sold]]*Table1[[#This Row],[Unit Price (INR)]]</f>
        <v>171069</v>
      </c>
      <c r="L450" t="s">
        <v>1923</v>
      </c>
    </row>
    <row r="451" spans="1:12" x14ac:dyDescent="0.35">
      <c r="A451" t="s">
        <v>460</v>
      </c>
      <c r="B451" s="5">
        <v>45957</v>
      </c>
      <c r="C451" t="s">
        <v>1215</v>
      </c>
      <c r="D451" t="s">
        <v>1236</v>
      </c>
      <c r="E451" t="s">
        <v>1605</v>
      </c>
      <c r="F451" t="s">
        <v>1899</v>
      </c>
      <c r="G451" t="s">
        <v>1907</v>
      </c>
      <c r="H451" t="s">
        <v>1918</v>
      </c>
      <c r="I451" s="4">
        <v>226</v>
      </c>
      <c r="J451" s="3">
        <v>347</v>
      </c>
      <c r="K451" s="3">
        <f>Table1[[#This Row],[Quantity Sold]]*Table1[[#This Row],[Unit Price (INR)]]</f>
        <v>78422</v>
      </c>
      <c r="L451" t="s">
        <v>1920</v>
      </c>
    </row>
    <row r="452" spans="1:12" x14ac:dyDescent="0.35">
      <c r="A452" t="s">
        <v>461</v>
      </c>
      <c r="B452" s="5">
        <v>45958</v>
      </c>
      <c r="C452" t="s">
        <v>1215</v>
      </c>
      <c r="D452" t="s">
        <v>1231</v>
      </c>
      <c r="E452" t="s">
        <v>1606</v>
      </c>
      <c r="F452" t="s">
        <v>1904</v>
      </c>
      <c r="G452" t="s">
        <v>1910</v>
      </c>
      <c r="H452" t="s">
        <v>1913</v>
      </c>
      <c r="I452" s="4">
        <v>105</v>
      </c>
      <c r="J452" s="3">
        <v>484</v>
      </c>
      <c r="K452" s="3">
        <f>Table1[[#This Row],[Quantity Sold]]*Table1[[#This Row],[Unit Price (INR)]]</f>
        <v>50820</v>
      </c>
      <c r="L452" t="s">
        <v>1920</v>
      </c>
    </row>
    <row r="453" spans="1:12" x14ac:dyDescent="0.35">
      <c r="A453" t="s">
        <v>462</v>
      </c>
      <c r="B453" s="5">
        <v>45959</v>
      </c>
      <c r="C453" t="s">
        <v>1215</v>
      </c>
      <c r="D453" t="s">
        <v>1225</v>
      </c>
      <c r="E453" t="s">
        <v>1607</v>
      </c>
      <c r="F453" t="s">
        <v>1901</v>
      </c>
      <c r="G453" t="s">
        <v>1910</v>
      </c>
      <c r="H453" t="s">
        <v>1917</v>
      </c>
      <c r="I453" s="4">
        <v>426</v>
      </c>
      <c r="J453" s="3">
        <v>233</v>
      </c>
      <c r="K453" s="3">
        <f>Table1[[#This Row],[Quantity Sold]]*Table1[[#This Row],[Unit Price (INR)]]</f>
        <v>99258</v>
      </c>
      <c r="L453" t="s">
        <v>1923</v>
      </c>
    </row>
    <row r="454" spans="1:12" x14ac:dyDescent="0.35">
      <c r="A454" t="s">
        <v>463</v>
      </c>
      <c r="B454" s="5">
        <v>45960</v>
      </c>
      <c r="C454" t="s">
        <v>1217</v>
      </c>
      <c r="D454" t="s">
        <v>1237</v>
      </c>
      <c r="E454" t="s">
        <v>1608</v>
      </c>
      <c r="F454" t="s">
        <v>1906</v>
      </c>
      <c r="G454" t="s">
        <v>1909</v>
      </c>
      <c r="H454" t="s">
        <v>1919</v>
      </c>
      <c r="I454" s="4">
        <v>438</v>
      </c>
      <c r="J454" s="3">
        <v>228</v>
      </c>
      <c r="K454" s="3">
        <f>Table1[[#This Row],[Quantity Sold]]*Table1[[#This Row],[Unit Price (INR)]]</f>
        <v>99864</v>
      </c>
      <c r="L454" t="s">
        <v>1923</v>
      </c>
    </row>
    <row r="455" spans="1:12" x14ac:dyDescent="0.35">
      <c r="A455" t="s">
        <v>464</v>
      </c>
      <c r="B455" s="5">
        <v>45961</v>
      </c>
      <c r="C455" t="s">
        <v>1217</v>
      </c>
      <c r="D455" t="s">
        <v>1237</v>
      </c>
      <c r="E455" t="s">
        <v>1442</v>
      </c>
      <c r="F455" t="s">
        <v>1900</v>
      </c>
      <c r="G455" t="s">
        <v>1911</v>
      </c>
      <c r="H455" t="s">
        <v>1913</v>
      </c>
      <c r="I455" s="4">
        <v>173</v>
      </c>
      <c r="J455" s="3">
        <v>247</v>
      </c>
      <c r="K455" s="3">
        <f>Table1[[#This Row],[Quantity Sold]]*Table1[[#This Row],[Unit Price (INR)]]</f>
        <v>42731</v>
      </c>
      <c r="L455" t="s">
        <v>1922</v>
      </c>
    </row>
    <row r="456" spans="1:12" x14ac:dyDescent="0.35">
      <c r="A456" t="s">
        <v>465</v>
      </c>
      <c r="B456" s="5">
        <v>45962</v>
      </c>
      <c r="C456" t="s">
        <v>1217</v>
      </c>
      <c r="D456" t="s">
        <v>1238</v>
      </c>
      <c r="E456" t="s">
        <v>1609</v>
      </c>
      <c r="F456" t="s">
        <v>1897</v>
      </c>
      <c r="G456" t="s">
        <v>1910</v>
      </c>
      <c r="H456" t="s">
        <v>1919</v>
      </c>
      <c r="I456" s="4">
        <v>157</v>
      </c>
      <c r="J456" s="3">
        <v>177</v>
      </c>
      <c r="K456" s="3">
        <f>Table1[[#This Row],[Quantity Sold]]*Table1[[#This Row],[Unit Price (INR)]]</f>
        <v>27789</v>
      </c>
      <c r="L456" t="s">
        <v>1922</v>
      </c>
    </row>
    <row r="457" spans="1:12" x14ac:dyDescent="0.35">
      <c r="A457" t="s">
        <v>466</v>
      </c>
      <c r="B457" s="5">
        <v>45963</v>
      </c>
      <c r="C457" t="s">
        <v>1214</v>
      </c>
      <c r="D457" t="s">
        <v>1222</v>
      </c>
      <c r="E457" t="s">
        <v>1610</v>
      </c>
      <c r="F457" t="s">
        <v>1900</v>
      </c>
      <c r="G457" t="s">
        <v>1911</v>
      </c>
      <c r="H457" t="s">
        <v>1918</v>
      </c>
      <c r="I457" s="4">
        <v>27</v>
      </c>
      <c r="J457" s="3">
        <v>69</v>
      </c>
      <c r="K457" s="3">
        <f>Table1[[#This Row],[Quantity Sold]]*Table1[[#This Row],[Unit Price (INR)]]</f>
        <v>1863</v>
      </c>
      <c r="L457" t="s">
        <v>1921</v>
      </c>
    </row>
    <row r="458" spans="1:12" x14ac:dyDescent="0.35">
      <c r="A458" t="s">
        <v>467</v>
      </c>
      <c r="B458" s="5">
        <v>45964</v>
      </c>
      <c r="C458" t="s">
        <v>1216</v>
      </c>
      <c r="D458" t="s">
        <v>1232</v>
      </c>
      <c r="E458" t="s">
        <v>1449</v>
      </c>
      <c r="F458" t="s">
        <v>1898</v>
      </c>
      <c r="G458" t="s">
        <v>1908</v>
      </c>
      <c r="H458" t="s">
        <v>1918</v>
      </c>
      <c r="I458" s="4">
        <v>303</v>
      </c>
      <c r="J458" s="3">
        <v>460</v>
      </c>
      <c r="K458" s="3">
        <f>Table1[[#This Row],[Quantity Sold]]*Table1[[#This Row],[Unit Price (INR)]]</f>
        <v>139380</v>
      </c>
      <c r="L458" t="s">
        <v>1920</v>
      </c>
    </row>
    <row r="459" spans="1:12" x14ac:dyDescent="0.35">
      <c r="A459" t="s">
        <v>468</v>
      </c>
      <c r="B459" s="5">
        <v>45965</v>
      </c>
      <c r="C459" t="s">
        <v>1211</v>
      </c>
      <c r="D459" t="s">
        <v>1221</v>
      </c>
      <c r="E459" t="s">
        <v>1542</v>
      </c>
      <c r="F459" t="s">
        <v>1904</v>
      </c>
      <c r="G459" t="s">
        <v>1907</v>
      </c>
      <c r="H459" t="s">
        <v>1915</v>
      </c>
      <c r="I459" s="4">
        <v>204</v>
      </c>
      <c r="J459" s="3">
        <v>471</v>
      </c>
      <c r="K459" s="3">
        <f>Table1[[#This Row],[Quantity Sold]]*Table1[[#This Row],[Unit Price (INR)]]</f>
        <v>96084</v>
      </c>
      <c r="L459" t="s">
        <v>1923</v>
      </c>
    </row>
    <row r="460" spans="1:12" x14ac:dyDescent="0.35">
      <c r="A460" t="s">
        <v>469</v>
      </c>
      <c r="B460" s="5">
        <v>45966</v>
      </c>
      <c r="C460" t="s">
        <v>1213</v>
      </c>
      <c r="D460" t="s">
        <v>1234</v>
      </c>
      <c r="E460" t="s">
        <v>1511</v>
      </c>
      <c r="F460" t="s">
        <v>1898</v>
      </c>
      <c r="G460" t="s">
        <v>1911</v>
      </c>
      <c r="H460" t="s">
        <v>1914</v>
      </c>
      <c r="I460" s="4">
        <v>160</v>
      </c>
      <c r="J460" s="3">
        <v>377</v>
      </c>
      <c r="K460" s="3">
        <f>Table1[[#This Row],[Quantity Sold]]*Table1[[#This Row],[Unit Price (INR)]]</f>
        <v>60320</v>
      </c>
      <c r="L460" t="s">
        <v>1922</v>
      </c>
    </row>
    <row r="461" spans="1:12" x14ac:dyDescent="0.35">
      <c r="A461" t="s">
        <v>470</v>
      </c>
      <c r="B461" s="5">
        <v>45967</v>
      </c>
      <c r="C461" t="s">
        <v>1215</v>
      </c>
      <c r="D461" t="s">
        <v>1231</v>
      </c>
      <c r="E461" t="s">
        <v>1405</v>
      </c>
      <c r="F461" t="s">
        <v>1903</v>
      </c>
      <c r="G461" t="s">
        <v>1907</v>
      </c>
      <c r="H461" t="s">
        <v>1918</v>
      </c>
      <c r="I461" s="4">
        <v>489</v>
      </c>
      <c r="J461" s="3">
        <v>114</v>
      </c>
      <c r="K461" s="3">
        <f>Table1[[#This Row],[Quantity Sold]]*Table1[[#This Row],[Unit Price (INR)]]</f>
        <v>55746</v>
      </c>
      <c r="L461" t="s">
        <v>1923</v>
      </c>
    </row>
    <row r="462" spans="1:12" x14ac:dyDescent="0.35">
      <c r="A462" t="s">
        <v>471</v>
      </c>
      <c r="B462" s="5">
        <v>45968</v>
      </c>
      <c r="C462" t="s">
        <v>1211</v>
      </c>
      <c r="D462" t="s">
        <v>1224</v>
      </c>
      <c r="E462" t="s">
        <v>1589</v>
      </c>
      <c r="F462" t="s">
        <v>1904</v>
      </c>
      <c r="G462" t="s">
        <v>1911</v>
      </c>
      <c r="H462" t="s">
        <v>1918</v>
      </c>
      <c r="I462" s="4">
        <v>374</v>
      </c>
      <c r="J462" s="3">
        <v>231</v>
      </c>
      <c r="K462" s="3">
        <f>Table1[[#This Row],[Quantity Sold]]*Table1[[#This Row],[Unit Price (INR)]]</f>
        <v>86394</v>
      </c>
      <c r="L462" t="s">
        <v>1922</v>
      </c>
    </row>
    <row r="463" spans="1:12" x14ac:dyDescent="0.35">
      <c r="A463" t="s">
        <v>472</v>
      </c>
      <c r="B463" s="5">
        <v>45969</v>
      </c>
      <c r="C463" t="s">
        <v>1215</v>
      </c>
      <c r="D463" t="s">
        <v>1236</v>
      </c>
      <c r="E463" t="s">
        <v>1552</v>
      </c>
      <c r="F463" t="s">
        <v>1904</v>
      </c>
      <c r="G463" t="s">
        <v>1908</v>
      </c>
      <c r="H463" t="s">
        <v>1919</v>
      </c>
      <c r="I463" s="4">
        <v>132</v>
      </c>
      <c r="J463" s="3">
        <v>290</v>
      </c>
      <c r="K463" s="3">
        <f>Table1[[#This Row],[Quantity Sold]]*Table1[[#This Row],[Unit Price (INR)]]</f>
        <v>38280</v>
      </c>
      <c r="L463" t="s">
        <v>1921</v>
      </c>
    </row>
    <row r="464" spans="1:12" x14ac:dyDescent="0.35">
      <c r="A464" t="s">
        <v>473</v>
      </c>
      <c r="B464" s="5">
        <v>45970</v>
      </c>
      <c r="C464" t="s">
        <v>1214</v>
      </c>
      <c r="D464" t="s">
        <v>1226</v>
      </c>
      <c r="E464" t="s">
        <v>1339</v>
      </c>
      <c r="F464" t="s">
        <v>1898</v>
      </c>
      <c r="G464" t="s">
        <v>1910</v>
      </c>
      <c r="H464" t="s">
        <v>1914</v>
      </c>
      <c r="I464" s="4">
        <v>409</v>
      </c>
      <c r="J464" s="3">
        <v>418</v>
      </c>
      <c r="K464" s="3">
        <f>Table1[[#This Row],[Quantity Sold]]*Table1[[#This Row],[Unit Price (INR)]]</f>
        <v>170962</v>
      </c>
      <c r="L464" t="s">
        <v>1921</v>
      </c>
    </row>
    <row r="465" spans="1:12" x14ac:dyDescent="0.35">
      <c r="A465" t="s">
        <v>474</v>
      </c>
      <c r="B465" s="5">
        <v>45971</v>
      </c>
      <c r="C465" t="s">
        <v>1215</v>
      </c>
      <c r="D465" t="s">
        <v>1231</v>
      </c>
      <c r="E465" t="s">
        <v>1611</v>
      </c>
      <c r="F465" t="s">
        <v>1902</v>
      </c>
      <c r="G465" t="s">
        <v>1908</v>
      </c>
      <c r="H465" t="s">
        <v>1918</v>
      </c>
      <c r="I465" s="4">
        <v>196</v>
      </c>
      <c r="J465" s="3">
        <v>73</v>
      </c>
      <c r="K465" s="3">
        <f>Table1[[#This Row],[Quantity Sold]]*Table1[[#This Row],[Unit Price (INR)]]</f>
        <v>14308</v>
      </c>
      <c r="L465" t="s">
        <v>1923</v>
      </c>
    </row>
    <row r="466" spans="1:12" x14ac:dyDescent="0.35">
      <c r="A466" t="s">
        <v>475</v>
      </c>
      <c r="B466" s="5">
        <v>45972</v>
      </c>
      <c r="C466" t="s">
        <v>1217</v>
      </c>
      <c r="D466" t="s">
        <v>1235</v>
      </c>
      <c r="E466" t="s">
        <v>1612</v>
      </c>
      <c r="F466" t="s">
        <v>1898</v>
      </c>
      <c r="G466" t="s">
        <v>1910</v>
      </c>
      <c r="H466" t="s">
        <v>1913</v>
      </c>
      <c r="I466" s="4">
        <v>462</v>
      </c>
      <c r="J466" s="3">
        <v>433</v>
      </c>
      <c r="K466" s="3">
        <f>Table1[[#This Row],[Quantity Sold]]*Table1[[#This Row],[Unit Price (INR)]]</f>
        <v>200046</v>
      </c>
      <c r="L466" t="s">
        <v>1921</v>
      </c>
    </row>
    <row r="467" spans="1:12" x14ac:dyDescent="0.35">
      <c r="A467" t="s">
        <v>476</v>
      </c>
      <c r="B467" s="5">
        <v>45973</v>
      </c>
      <c r="C467" t="s">
        <v>1213</v>
      </c>
      <c r="D467" t="s">
        <v>1244</v>
      </c>
      <c r="E467" t="s">
        <v>1613</v>
      </c>
      <c r="F467" t="s">
        <v>1900</v>
      </c>
      <c r="G467" t="s">
        <v>1910</v>
      </c>
      <c r="H467" t="s">
        <v>1912</v>
      </c>
      <c r="I467" s="4">
        <v>461</v>
      </c>
      <c r="J467" s="3">
        <v>480</v>
      </c>
      <c r="K467" s="3">
        <f>Table1[[#This Row],[Quantity Sold]]*Table1[[#This Row],[Unit Price (INR)]]</f>
        <v>221280</v>
      </c>
      <c r="L467" t="s">
        <v>1923</v>
      </c>
    </row>
    <row r="468" spans="1:12" x14ac:dyDescent="0.35">
      <c r="A468" t="s">
        <v>477</v>
      </c>
      <c r="B468" s="5">
        <v>45974</v>
      </c>
      <c r="C468" t="s">
        <v>1212</v>
      </c>
      <c r="D468" t="s">
        <v>1219</v>
      </c>
      <c r="E468" t="s">
        <v>1539</v>
      </c>
      <c r="F468" t="s">
        <v>1902</v>
      </c>
      <c r="G468" t="s">
        <v>1907</v>
      </c>
      <c r="H468" t="s">
        <v>1918</v>
      </c>
      <c r="I468" s="4">
        <v>158</v>
      </c>
      <c r="J468" s="3">
        <v>132</v>
      </c>
      <c r="K468" s="3">
        <f>Table1[[#This Row],[Quantity Sold]]*Table1[[#This Row],[Unit Price (INR)]]</f>
        <v>20856</v>
      </c>
      <c r="L468" t="s">
        <v>1922</v>
      </c>
    </row>
    <row r="469" spans="1:12" x14ac:dyDescent="0.35">
      <c r="A469" t="s">
        <v>478</v>
      </c>
      <c r="B469" s="5">
        <v>45975</v>
      </c>
      <c r="C469" t="s">
        <v>1215</v>
      </c>
      <c r="D469" t="s">
        <v>1225</v>
      </c>
      <c r="E469" t="s">
        <v>1452</v>
      </c>
      <c r="F469" t="s">
        <v>1900</v>
      </c>
      <c r="G469" t="s">
        <v>1908</v>
      </c>
      <c r="H469" t="s">
        <v>1912</v>
      </c>
      <c r="I469" s="4">
        <v>113</v>
      </c>
      <c r="J469" s="3">
        <v>368</v>
      </c>
      <c r="K469" s="3">
        <f>Table1[[#This Row],[Quantity Sold]]*Table1[[#This Row],[Unit Price (INR)]]</f>
        <v>41584</v>
      </c>
      <c r="L469" t="s">
        <v>1920</v>
      </c>
    </row>
    <row r="470" spans="1:12" x14ac:dyDescent="0.35">
      <c r="A470" t="s">
        <v>479</v>
      </c>
      <c r="B470" s="5">
        <v>45976</v>
      </c>
      <c r="C470" t="s">
        <v>1211</v>
      </c>
      <c r="D470" t="s">
        <v>1221</v>
      </c>
      <c r="E470" t="s">
        <v>1588</v>
      </c>
      <c r="F470" t="s">
        <v>1903</v>
      </c>
      <c r="G470" t="s">
        <v>1911</v>
      </c>
      <c r="H470" t="s">
        <v>1914</v>
      </c>
      <c r="I470" s="4">
        <v>252</v>
      </c>
      <c r="J470" s="3">
        <v>234</v>
      </c>
      <c r="K470" s="3">
        <f>Table1[[#This Row],[Quantity Sold]]*Table1[[#This Row],[Unit Price (INR)]]</f>
        <v>58968</v>
      </c>
      <c r="L470" t="s">
        <v>1921</v>
      </c>
    </row>
    <row r="471" spans="1:12" x14ac:dyDescent="0.35">
      <c r="A471" t="s">
        <v>480</v>
      </c>
      <c r="B471" s="5">
        <v>45977</v>
      </c>
      <c r="C471" t="s">
        <v>1217</v>
      </c>
      <c r="D471" t="s">
        <v>1235</v>
      </c>
      <c r="E471" t="s">
        <v>1614</v>
      </c>
      <c r="F471" t="s">
        <v>1897</v>
      </c>
      <c r="G471" t="s">
        <v>1908</v>
      </c>
      <c r="H471" t="s">
        <v>1915</v>
      </c>
      <c r="I471" s="4">
        <v>471</v>
      </c>
      <c r="J471" s="3">
        <v>488</v>
      </c>
      <c r="K471" s="3">
        <f>Table1[[#This Row],[Quantity Sold]]*Table1[[#This Row],[Unit Price (INR)]]</f>
        <v>229848</v>
      </c>
      <c r="L471" t="s">
        <v>1922</v>
      </c>
    </row>
    <row r="472" spans="1:12" x14ac:dyDescent="0.35">
      <c r="A472" t="s">
        <v>481</v>
      </c>
      <c r="B472" s="5">
        <v>45978</v>
      </c>
      <c r="C472" t="s">
        <v>1212</v>
      </c>
      <c r="D472" t="s">
        <v>1219</v>
      </c>
      <c r="E472" t="s">
        <v>1489</v>
      </c>
      <c r="F472" t="s">
        <v>1905</v>
      </c>
      <c r="G472" t="s">
        <v>1907</v>
      </c>
      <c r="H472" t="s">
        <v>1917</v>
      </c>
      <c r="I472" s="4">
        <v>240</v>
      </c>
      <c r="J472" s="3">
        <v>365</v>
      </c>
      <c r="K472" s="3">
        <f>Table1[[#This Row],[Quantity Sold]]*Table1[[#This Row],[Unit Price (INR)]]</f>
        <v>87600</v>
      </c>
      <c r="L472" t="s">
        <v>1920</v>
      </c>
    </row>
    <row r="473" spans="1:12" x14ac:dyDescent="0.35">
      <c r="A473" t="s">
        <v>482</v>
      </c>
      <c r="B473" s="5">
        <v>45979</v>
      </c>
      <c r="C473" t="s">
        <v>1213</v>
      </c>
      <c r="D473" t="s">
        <v>1244</v>
      </c>
      <c r="E473" t="s">
        <v>1615</v>
      </c>
      <c r="F473" t="s">
        <v>1902</v>
      </c>
      <c r="G473" t="s">
        <v>1910</v>
      </c>
      <c r="H473" t="s">
        <v>1914</v>
      </c>
      <c r="I473" s="4">
        <v>488</v>
      </c>
      <c r="J473" s="3">
        <v>148</v>
      </c>
      <c r="K473" s="3">
        <f>Table1[[#This Row],[Quantity Sold]]*Table1[[#This Row],[Unit Price (INR)]]</f>
        <v>72224</v>
      </c>
      <c r="L473" t="s">
        <v>1920</v>
      </c>
    </row>
    <row r="474" spans="1:12" x14ac:dyDescent="0.35">
      <c r="A474" t="s">
        <v>483</v>
      </c>
      <c r="B474" s="5">
        <v>45980</v>
      </c>
      <c r="C474" t="s">
        <v>1212</v>
      </c>
      <c r="D474" t="s">
        <v>1219</v>
      </c>
      <c r="E474" t="s">
        <v>1616</v>
      </c>
      <c r="F474" t="s">
        <v>1903</v>
      </c>
      <c r="G474" t="s">
        <v>1907</v>
      </c>
      <c r="H474" t="s">
        <v>1919</v>
      </c>
      <c r="I474" s="4">
        <v>215</v>
      </c>
      <c r="J474" s="3">
        <v>111</v>
      </c>
      <c r="K474" s="3">
        <f>Table1[[#This Row],[Quantity Sold]]*Table1[[#This Row],[Unit Price (INR)]]</f>
        <v>23865</v>
      </c>
      <c r="L474" t="s">
        <v>1920</v>
      </c>
    </row>
    <row r="475" spans="1:12" x14ac:dyDescent="0.35">
      <c r="A475" t="s">
        <v>484</v>
      </c>
      <c r="B475" s="5">
        <v>45981</v>
      </c>
      <c r="C475" t="s">
        <v>1217</v>
      </c>
      <c r="D475" t="s">
        <v>1237</v>
      </c>
      <c r="E475" t="s">
        <v>1617</v>
      </c>
      <c r="F475" t="s">
        <v>1906</v>
      </c>
      <c r="G475" t="s">
        <v>1909</v>
      </c>
      <c r="H475" t="s">
        <v>1917</v>
      </c>
      <c r="I475" s="4">
        <v>207</v>
      </c>
      <c r="J475" s="3">
        <v>335</v>
      </c>
      <c r="K475" s="3">
        <f>Table1[[#This Row],[Quantity Sold]]*Table1[[#This Row],[Unit Price (INR)]]</f>
        <v>69345</v>
      </c>
      <c r="L475" t="s">
        <v>1922</v>
      </c>
    </row>
    <row r="476" spans="1:12" x14ac:dyDescent="0.35">
      <c r="A476" t="s">
        <v>485</v>
      </c>
      <c r="B476" s="5">
        <v>45982</v>
      </c>
      <c r="C476" t="s">
        <v>1216</v>
      </c>
      <c r="D476" t="s">
        <v>1232</v>
      </c>
      <c r="E476" t="s">
        <v>1618</v>
      </c>
      <c r="F476" t="s">
        <v>1903</v>
      </c>
      <c r="G476" t="s">
        <v>1909</v>
      </c>
      <c r="H476" t="s">
        <v>1913</v>
      </c>
      <c r="I476" s="4">
        <v>405</v>
      </c>
      <c r="J476" s="3">
        <v>71</v>
      </c>
      <c r="K476" s="3">
        <f>Table1[[#This Row],[Quantity Sold]]*Table1[[#This Row],[Unit Price (INR)]]</f>
        <v>28755</v>
      </c>
      <c r="L476" t="s">
        <v>1922</v>
      </c>
    </row>
    <row r="477" spans="1:12" x14ac:dyDescent="0.35">
      <c r="A477" t="s">
        <v>486</v>
      </c>
      <c r="B477" s="5">
        <v>45983</v>
      </c>
      <c r="C477" t="s">
        <v>1216</v>
      </c>
      <c r="D477" t="s">
        <v>1232</v>
      </c>
      <c r="E477" t="s">
        <v>1619</v>
      </c>
      <c r="F477" t="s">
        <v>1898</v>
      </c>
      <c r="G477" t="s">
        <v>1911</v>
      </c>
      <c r="H477" t="s">
        <v>1916</v>
      </c>
      <c r="I477" s="4">
        <v>409</v>
      </c>
      <c r="J477" s="3">
        <v>261</v>
      </c>
      <c r="K477" s="3">
        <f>Table1[[#This Row],[Quantity Sold]]*Table1[[#This Row],[Unit Price (INR)]]</f>
        <v>106749</v>
      </c>
      <c r="L477" t="s">
        <v>1923</v>
      </c>
    </row>
    <row r="478" spans="1:12" x14ac:dyDescent="0.35">
      <c r="A478" t="s">
        <v>487</v>
      </c>
      <c r="B478" s="5">
        <v>45984</v>
      </c>
      <c r="C478" t="s">
        <v>1212</v>
      </c>
      <c r="D478" t="s">
        <v>1240</v>
      </c>
      <c r="E478" t="s">
        <v>1562</v>
      </c>
      <c r="F478" t="s">
        <v>1898</v>
      </c>
      <c r="G478" t="s">
        <v>1907</v>
      </c>
      <c r="H478" t="s">
        <v>1912</v>
      </c>
      <c r="I478" s="4">
        <v>346</v>
      </c>
      <c r="J478" s="3">
        <v>175</v>
      </c>
      <c r="K478" s="3">
        <f>Table1[[#This Row],[Quantity Sold]]*Table1[[#This Row],[Unit Price (INR)]]</f>
        <v>60550</v>
      </c>
      <c r="L478" t="s">
        <v>1920</v>
      </c>
    </row>
    <row r="479" spans="1:12" x14ac:dyDescent="0.35">
      <c r="A479" t="s">
        <v>488</v>
      </c>
      <c r="B479" s="5">
        <v>45985</v>
      </c>
      <c r="C479" t="s">
        <v>1214</v>
      </c>
      <c r="D479" t="s">
        <v>1222</v>
      </c>
      <c r="E479" t="s">
        <v>1620</v>
      </c>
      <c r="F479" t="s">
        <v>1905</v>
      </c>
      <c r="G479" t="s">
        <v>1911</v>
      </c>
      <c r="H479" t="s">
        <v>1912</v>
      </c>
      <c r="I479" s="4">
        <v>96</v>
      </c>
      <c r="J479" s="3">
        <v>462</v>
      </c>
      <c r="K479" s="3">
        <f>Table1[[#This Row],[Quantity Sold]]*Table1[[#This Row],[Unit Price (INR)]]</f>
        <v>44352</v>
      </c>
      <c r="L479" t="s">
        <v>1920</v>
      </c>
    </row>
    <row r="480" spans="1:12" x14ac:dyDescent="0.35">
      <c r="A480" t="s">
        <v>489</v>
      </c>
      <c r="B480" s="5">
        <v>45986</v>
      </c>
      <c r="C480" t="s">
        <v>1211</v>
      </c>
      <c r="D480" t="s">
        <v>1218</v>
      </c>
      <c r="E480" t="s">
        <v>1508</v>
      </c>
      <c r="F480" t="s">
        <v>1903</v>
      </c>
      <c r="G480" t="s">
        <v>1911</v>
      </c>
      <c r="H480" t="s">
        <v>1912</v>
      </c>
      <c r="I480" s="4">
        <v>151</v>
      </c>
      <c r="J480" s="3">
        <v>474</v>
      </c>
      <c r="K480" s="3">
        <f>Table1[[#This Row],[Quantity Sold]]*Table1[[#This Row],[Unit Price (INR)]]</f>
        <v>71574</v>
      </c>
      <c r="L480" t="s">
        <v>1920</v>
      </c>
    </row>
    <row r="481" spans="1:12" x14ac:dyDescent="0.35">
      <c r="A481" t="s">
        <v>490</v>
      </c>
      <c r="B481" s="5">
        <v>45987</v>
      </c>
      <c r="C481" t="s">
        <v>1211</v>
      </c>
      <c r="D481" t="s">
        <v>1221</v>
      </c>
      <c r="E481" t="s">
        <v>1255</v>
      </c>
      <c r="F481" t="s">
        <v>1899</v>
      </c>
      <c r="G481" t="s">
        <v>1909</v>
      </c>
      <c r="H481" t="s">
        <v>1914</v>
      </c>
      <c r="I481" s="4">
        <v>326</v>
      </c>
      <c r="J481" s="3">
        <v>91</v>
      </c>
      <c r="K481" s="3">
        <f>Table1[[#This Row],[Quantity Sold]]*Table1[[#This Row],[Unit Price (INR)]]</f>
        <v>29666</v>
      </c>
      <c r="L481" t="s">
        <v>1923</v>
      </c>
    </row>
    <row r="482" spans="1:12" x14ac:dyDescent="0.35">
      <c r="A482" t="s">
        <v>491</v>
      </c>
      <c r="B482" s="5">
        <v>45988</v>
      </c>
      <c r="C482" t="s">
        <v>1212</v>
      </c>
      <c r="D482" t="s">
        <v>1240</v>
      </c>
      <c r="E482" t="s">
        <v>1621</v>
      </c>
      <c r="F482" t="s">
        <v>1897</v>
      </c>
      <c r="G482" t="s">
        <v>1911</v>
      </c>
      <c r="H482" t="s">
        <v>1912</v>
      </c>
      <c r="I482" s="4">
        <v>208</v>
      </c>
      <c r="J482" s="3">
        <v>147</v>
      </c>
      <c r="K482" s="3">
        <f>Table1[[#This Row],[Quantity Sold]]*Table1[[#This Row],[Unit Price (INR)]]</f>
        <v>30576</v>
      </c>
      <c r="L482" t="s">
        <v>1920</v>
      </c>
    </row>
    <row r="483" spans="1:12" x14ac:dyDescent="0.35">
      <c r="A483" t="s">
        <v>492</v>
      </c>
      <c r="B483" s="5">
        <v>45989</v>
      </c>
      <c r="C483" t="s">
        <v>1215</v>
      </c>
      <c r="D483" t="s">
        <v>1243</v>
      </c>
      <c r="E483" t="s">
        <v>1607</v>
      </c>
      <c r="F483" t="s">
        <v>1898</v>
      </c>
      <c r="G483" t="s">
        <v>1909</v>
      </c>
      <c r="H483" t="s">
        <v>1915</v>
      </c>
      <c r="I483" s="4">
        <v>55</v>
      </c>
      <c r="J483" s="3">
        <v>498</v>
      </c>
      <c r="K483" s="3">
        <f>Table1[[#This Row],[Quantity Sold]]*Table1[[#This Row],[Unit Price (INR)]]</f>
        <v>27390</v>
      </c>
      <c r="L483" t="s">
        <v>1922</v>
      </c>
    </row>
    <row r="484" spans="1:12" x14ac:dyDescent="0.35">
      <c r="A484" t="s">
        <v>493</v>
      </c>
      <c r="B484" s="5">
        <v>45990</v>
      </c>
      <c r="C484" t="s">
        <v>1215</v>
      </c>
      <c r="D484" t="s">
        <v>1236</v>
      </c>
      <c r="E484" t="s">
        <v>1622</v>
      </c>
      <c r="F484" t="s">
        <v>1905</v>
      </c>
      <c r="G484" t="s">
        <v>1910</v>
      </c>
      <c r="H484" t="s">
        <v>1912</v>
      </c>
      <c r="I484" s="4">
        <v>297</v>
      </c>
      <c r="J484" s="3">
        <v>80</v>
      </c>
      <c r="K484" s="3">
        <f>Table1[[#This Row],[Quantity Sold]]*Table1[[#This Row],[Unit Price (INR)]]</f>
        <v>23760</v>
      </c>
      <c r="L484" t="s">
        <v>1920</v>
      </c>
    </row>
    <row r="485" spans="1:12" x14ac:dyDescent="0.35">
      <c r="A485" t="s">
        <v>494</v>
      </c>
      <c r="B485" s="5">
        <v>45991</v>
      </c>
      <c r="C485" t="s">
        <v>1211</v>
      </c>
      <c r="D485" t="s">
        <v>1224</v>
      </c>
      <c r="E485" t="s">
        <v>1623</v>
      </c>
      <c r="F485" t="s">
        <v>1897</v>
      </c>
      <c r="G485" t="s">
        <v>1907</v>
      </c>
      <c r="H485" t="s">
        <v>1919</v>
      </c>
      <c r="I485" s="4">
        <v>24</v>
      </c>
      <c r="J485" s="3">
        <v>207</v>
      </c>
      <c r="K485" s="3">
        <f>Table1[[#This Row],[Quantity Sold]]*Table1[[#This Row],[Unit Price (INR)]]</f>
        <v>4968</v>
      </c>
      <c r="L485" t="s">
        <v>1921</v>
      </c>
    </row>
    <row r="486" spans="1:12" x14ac:dyDescent="0.35">
      <c r="A486" t="s">
        <v>495</v>
      </c>
      <c r="B486" s="5">
        <v>45992</v>
      </c>
      <c r="C486" t="s">
        <v>1211</v>
      </c>
      <c r="D486" t="s">
        <v>1224</v>
      </c>
      <c r="E486" t="s">
        <v>1367</v>
      </c>
      <c r="F486" t="s">
        <v>1903</v>
      </c>
      <c r="G486" t="s">
        <v>1911</v>
      </c>
      <c r="H486" t="s">
        <v>1913</v>
      </c>
      <c r="I486" s="4">
        <v>53</v>
      </c>
      <c r="J486" s="3">
        <v>161</v>
      </c>
      <c r="K486" s="3">
        <f>Table1[[#This Row],[Quantity Sold]]*Table1[[#This Row],[Unit Price (INR)]]</f>
        <v>8533</v>
      </c>
      <c r="L486" t="s">
        <v>1922</v>
      </c>
    </row>
    <row r="487" spans="1:12" x14ac:dyDescent="0.35">
      <c r="A487" t="s">
        <v>496</v>
      </c>
      <c r="B487" s="5">
        <v>45993</v>
      </c>
      <c r="C487" t="s">
        <v>1216</v>
      </c>
      <c r="D487" t="s">
        <v>1232</v>
      </c>
      <c r="E487" t="s">
        <v>1377</v>
      </c>
      <c r="F487" t="s">
        <v>1903</v>
      </c>
      <c r="G487" t="s">
        <v>1909</v>
      </c>
      <c r="H487" t="s">
        <v>1912</v>
      </c>
      <c r="I487" s="4">
        <v>410</v>
      </c>
      <c r="J487" s="3">
        <v>451</v>
      </c>
      <c r="K487" s="3">
        <f>Table1[[#This Row],[Quantity Sold]]*Table1[[#This Row],[Unit Price (INR)]]</f>
        <v>184910</v>
      </c>
      <c r="L487" t="s">
        <v>1923</v>
      </c>
    </row>
    <row r="488" spans="1:12" x14ac:dyDescent="0.35">
      <c r="A488" t="s">
        <v>497</v>
      </c>
      <c r="B488" s="5">
        <v>45994</v>
      </c>
      <c r="C488" t="s">
        <v>1214</v>
      </c>
      <c r="D488" t="s">
        <v>1227</v>
      </c>
      <c r="E488" t="s">
        <v>1348</v>
      </c>
      <c r="F488" t="s">
        <v>1904</v>
      </c>
      <c r="G488" t="s">
        <v>1908</v>
      </c>
      <c r="H488" t="s">
        <v>1912</v>
      </c>
      <c r="I488" s="4">
        <v>178</v>
      </c>
      <c r="J488" s="3">
        <v>296</v>
      </c>
      <c r="K488" s="3">
        <f>Table1[[#This Row],[Quantity Sold]]*Table1[[#This Row],[Unit Price (INR)]]</f>
        <v>52688</v>
      </c>
      <c r="L488" t="s">
        <v>1920</v>
      </c>
    </row>
    <row r="489" spans="1:12" x14ac:dyDescent="0.35">
      <c r="A489" t="s">
        <v>498</v>
      </c>
      <c r="B489" s="5">
        <v>45995</v>
      </c>
      <c r="C489" t="s">
        <v>1217</v>
      </c>
      <c r="D489" t="s">
        <v>1235</v>
      </c>
      <c r="E489" t="s">
        <v>1624</v>
      </c>
      <c r="F489" t="s">
        <v>1905</v>
      </c>
      <c r="G489" t="s">
        <v>1911</v>
      </c>
      <c r="H489" t="s">
        <v>1917</v>
      </c>
      <c r="I489" s="4">
        <v>319</v>
      </c>
      <c r="J489" s="3">
        <v>171</v>
      </c>
      <c r="K489" s="3">
        <f>Table1[[#This Row],[Quantity Sold]]*Table1[[#This Row],[Unit Price (INR)]]</f>
        <v>54549</v>
      </c>
      <c r="L489" t="s">
        <v>1921</v>
      </c>
    </row>
    <row r="490" spans="1:12" x14ac:dyDescent="0.35">
      <c r="A490" t="s">
        <v>499</v>
      </c>
      <c r="B490" s="5">
        <v>45996</v>
      </c>
      <c r="C490" t="s">
        <v>1215</v>
      </c>
      <c r="D490" t="s">
        <v>1243</v>
      </c>
      <c r="E490" t="s">
        <v>1470</v>
      </c>
      <c r="F490" t="s">
        <v>1898</v>
      </c>
      <c r="G490" t="s">
        <v>1910</v>
      </c>
      <c r="H490" t="s">
        <v>1913</v>
      </c>
      <c r="I490" s="4">
        <v>53</v>
      </c>
      <c r="J490" s="3">
        <v>322</v>
      </c>
      <c r="K490" s="3">
        <f>Table1[[#This Row],[Quantity Sold]]*Table1[[#This Row],[Unit Price (INR)]]</f>
        <v>17066</v>
      </c>
      <c r="L490" t="s">
        <v>1923</v>
      </c>
    </row>
    <row r="491" spans="1:12" x14ac:dyDescent="0.35">
      <c r="A491" t="s">
        <v>500</v>
      </c>
      <c r="B491" s="5">
        <v>45997</v>
      </c>
      <c r="C491" t="s">
        <v>1211</v>
      </c>
      <c r="D491" t="s">
        <v>1218</v>
      </c>
      <c r="E491" t="s">
        <v>1625</v>
      </c>
      <c r="F491" t="s">
        <v>1899</v>
      </c>
      <c r="G491" t="s">
        <v>1910</v>
      </c>
      <c r="H491" t="s">
        <v>1912</v>
      </c>
      <c r="I491" s="4">
        <v>107</v>
      </c>
      <c r="J491" s="3">
        <v>343</v>
      </c>
      <c r="K491" s="3">
        <f>Table1[[#This Row],[Quantity Sold]]*Table1[[#This Row],[Unit Price (INR)]]</f>
        <v>36701</v>
      </c>
      <c r="L491" t="s">
        <v>1923</v>
      </c>
    </row>
    <row r="492" spans="1:12" x14ac:dyDescent="0.35">
      <c r="A492" t="s">
        <v>501</v>
      </c>
      <c r="B492" s="5">
        <v>45998</v>
      </c>
      <c r="C492" t="s">
        <v>1216</v>
      </c>
      <c r="D492" t="s">
        <v>1232</v>
      </c>
      <c r="E492" t="s">
        <v>1626</v>
      </c>
      <c r="F492" t="s">
        <v>1903</v>
      </c>
      <c r="G492" t="s">
        <v>1908</v>
      </c>
      <c r="H492" t="s">
        <v>1914</v>
      </c>
      <c r="I492" s="4">
        <v>270</v>
      </c>
      <c r="J492" s="3">
        <v>447</v>
      </c>
      <c r="K492" s="3">
        <f>Table1[[#This Row],[Quantity Sold]]*Table1[[#This Row],[Unit Price (INR)]]</f>
        <v>120690</v>
      </c>
      <c r="L492" t="s">
        <v>1922</v>
      </c>
    </row>
    <row r="493" spans="1:12" x14ac:dyDescent="0.35">
      <c r="A493" t="s">
        <v>502</v>
      </c>
      <c r="B493" s="5">
        <v>45999</v>
      </c>
      <c r="C493" t="s">
        <v>1213</v>
      </c>
      <c r="D493" t="s">
        <v>1220</v>
      </c>
      <c r="E493" t="s">
        <v>1610</v>
      </c>
      <c r="F493" t="s">
        <v>1899</v>
      </c>
      <c r="G493" t="s">
        <v>1909</v>
      </c>
      <c r="H493" t="s">
        <v>1918</v>
      </c>
      <c r="I493" s="4">
        <v>118</v>
      </c>
      <c r="J493" s="3">
        <v>256</v>
      </c>
      <c r="K493" s="3">
        <f>Table1[[#This Row],[Quantity Sold]]*Table1[[#This Row],[Unit Price (INR)]]</f>
        <v>30208</v>
      </c>
      <c r="L493" t="s">
        <v>1923</v>
      </c>
    </row>
    <row r="494" spans="1:12" x14ac:dyDescent="0.35">
      <c r="A494" t="s">
        <v>503</v>
      </c>
      <c r="B494" s="5">
        <v>46000</v>
      </c>
      <c r="C494" t="s">
        <v>1216</v>
      </c>
      <c r="D494" t="s">
        <v>1232</v>
      </c>
      <c r="E494" t="s">
        <v>1627</v>
      </c>
      <c r="F494" t="s">
        <v>1903</v>
      </c>
      <c r="G494" t="s">
        <v>1911</v>
      </c>
      <c r="H494" t="s">
        <v>1915</v>
      </c>
      <c r="I494" s="4">
        <v>292</v>
      </c>
      <c r="J494" s="3">
        <v>159</v>
      </c>
      <c r="K494" s="3">
        <f>Table1[[#This Row],[Quantity Sold]]*Table1[[#This Row],[Unit Price (INR)]]</f>
        <v>46428</v>
      </c>
      <c r="L494" t="s">
        <v>1923</v>
      </c>
    </row>
    <row r="495" spans="1:12" x14ac:dyDescent="0.35">
      <c r="A495" t="s">
        <v>504</v>
      </c>
      <c r="B495" s="5">
        <v>46001</v>
      </c>
      <c r="C495" t="s">
        <v>1215</v>
      </c>
      <c r="D495" t="s">
        <v>1236</v>
      </c>
      <c r="E495" t="s">
        <v>1628</v>
      </c>
      <c r="F495" t="s">
        <v>1898</v>
      </c>
      <c r="G495" t="s">
        <v>1909</v>
      </c>
      <c r="H495" t="s">
        <v>1914</v>
      </c>
      <c r="I495" s="4">
        <v>381</v>
      </c>
      <c r="J495" s="3">
        <v>489</v>
      </c>
      <c r="K495" s="3">
        <f>Table1[[#This Row],[Quantity Sold]]*Table1[[#This Row],[Unit Price (INR)]]</f>
        <v>186309</v>
      </c>
      <c r="L495" t="s">
        <v>1923</v>
      </c>
    </row>
    <row r="496" spans="1:12" x14ac:dyDescent="0.35">
      <c r="A496" t="s">
        <v>505</v>
      </c>
      <c r="B496" s="5">
        <v>46002</v>
      </c>
      <c r="C496" t="s">
        <v>1215</v>
      </c>
      <c r="D496" t="s">
        <v>1243</v>
      </c>
      <c r="E496" t="s">
        <v>1629</v>
      </c>
      <c r="F496" t="s">
        <v>1897</v>
      </c>
      <c r="G496" t="s">
        <v>1910</v>
      </c>
      <c r="H496" t="s">
        <v>1916</v>
      </c>
      <c r="I496" s="4">
        <v>352</v>
      </c>
      <c r="J496" s="3">
        <v>327</v>
      </c>
      <c r="K496" s="3">
        <f>Table1[[#This Row],[Quantity Sold]]*Table1[[#This Row],[Unit Price (INR)]]</f>
        <v>115104</v>
      </c>
      <c r="L496" t="s">
        <v>1923</v>
      </c>
    </row>
    <row r="497" spans="1:12" x14ac:dyDescent="0.35">
      <c r="A497" t="s">
        <v>506</v>
      </c>
      <c r="B497" s="5">
        <v>46003</v>
      </c>
      <c r="C497" t="s">
        <v>1216</v>
      </c>
      <c r="D497" t="s">
        <v>1241</v>
      </c>
      <c r="E497" t="s">
        <v>1630</v>
      </c>
      <c r="F497" t="s">
        <v>1901</v>
      </c>
      <c r="G497" t="s">
        <v>1909</v>
      </c>
      <c r="H497" t="s">
        <v>1914</v>
      </c>
      <c r="I497" s="4">
        <v>113</v>
      </c>
      <c r="J497" s="3">
        <v>105</v>
      </c>
      <c r="K497" s="3">
        <f>Table1[[#This Row],[Quantity Sold]]*Table1[[#This Row],[Unit Price (INR)]]</f>
        <v>11865</v>
      </c>
      <c r="L497" t="s">
        <v>1920</v>
      </c>
    </row>
    <row r="498" spans="1:12" x14ac:dyDescent="0.35">
      <c r="A498" t="s">
        <v>507</v>
      </c>
      <c r="B498" s="5">
        <v>46004</v>
      </c>
      <c r="C498" t="s">
        <v>1217</v>
      </c>
      <c r="D498" t="s">
        <v>1237</v>
      </c>
      <c r="E498" t="s">
        <v>1631</v>
      </c>
      <c r="F498" t="s">
        <v>1897</v>
      </c>
      <c r="G498" t="s">
        <v>1910</v>
      </c>
      <c r="H498" t="s">
        <v>1917</v>
      </c>
      <c r="I498" s="4">
        <v>265</v>
      </c>
      <c r="J498" s="3">
        <v>424</v>
      </c>
      <c r="K498" s="3">
        <f>Table1[[#This Row],[Quantity Sold]]*Table1[[#This Row],[Unit Price (INR)]]</f>
        <v>112360</v>
      </c>
      <c r="L498" t="s">
        <v>1920</v>
      </c>
    </row>
    <row r="499" spans="1:12" x14ac:dyDescent="0.35">
      <c r="A499" t="s">
        <v>508</v>
      </c>
      <c r="B499" s="5">
        <v>46005</v>
      </c>
      <c r="C499" t="s">
        <v>1212</v>
      </c>
      <c r="D499" t="s">
        <v>1233</v>
      </c>
      <c r="E499" t="s">
        <v>1632</v>
      </c>
      <c r="F499" t="s">
        <v>1903</v>
      </c>
      <c r="G499" t="s">
        <v>1909</v>
      </c>
      <c r="H499" t="s">
        <v>1917</v>
      </c>
      <c r="I499" s="4">
        <v>388</v>
      </c>
      <c r="J499" s="3">
        <v>452</v>
      </c>
      <c r="K499" s="3">
        <f>Table1[[#This Row],[Quantity Sold]]*Table1[[#This Row],[Unit Price (INR)]]</f>
        <v>175376</v>
      </c>
      <c r="L499" t="s">
        <v>1920</v>
      </c>
    </row>
    <row r="500" spans="1:12" x14ac:dyDescent="0.35">
      <c r="A500" t="s">
        <v>509</v>
      </c>
      <c r="B500" s="5">
        <v>46006</v>
      </c>
      <c r="C500" t="s">
        <v>1215</v>
      </c>
      <c r="D500" t="s">
        <v>1243</v>
      </c>
      <c r="E500" t="s">
        <v>1633</v>
      </c>
      <c r="F500" t="s">
        <v>1900</v>
      </c>
      <c r="G500" t="s">
        <v>1908</v>
      </c>
      <c r="H500" t="s">
        <v>1912</v>
      </c>
      <c r="I500" s="4">
        <v>215</v>
      </c>
      <c r="J500" s="3">
        <v>106</v>
      </c>
      <c r="K500" s="3">
        <f>Table1[[#This Row],[Quantity Sold]]*Table1[[#This Row],[Unit Price (INR)]]</f>
        <v>22790</v>
      </c>
      <c r="L500" t="s">
        <v>1920</v>
      </c>
    </row>
    <row r="501" spans="1:12" x14ac:dyDescent="0.35">
      <c r="A501" t="s">
        <v>510</v>
      </c>
      <c r="B501" s="5">
        <v>46007</v>
      </c>
      <c r="C501" t="s">
        <v>1216</v>
      </c>
      <c r="D501" t="s">
        <v>1239</v>
      </c>
      <c r="E501" t="s">
        <v>1634</v>
      </c>
      <c r="F501" t="s">
        <v>1901</v>
      </c>
      <c r="G501" t="s">
        <v>1907</v>
      </c>
      <c r="H501" t="s">
        <v>1914</v>
      </c>
      <c r="I501" s="4">
        <v>344</v>
      </c>
      <c r="J501" s="3">
        <v>477</v>
      </c>
      <c r="K501" s="3">
        <f>Table1[[#This Row],[Quantity Sold]]*Table1[[#This Row],[Unit Price (INR)]]</f>
        <v>164088</v>
      </c>
      <c r="L501" t="s">
        <v>1921</v>
      </c>
    </row>
    <row r="502" spans="1:12" x14ac:dyDescent="0.35">
      <c r="A502" t="s">
        <v>511</v>
      </c>
      <c r="B502" s="5">
        <v>46008</v>
      </c>
      <c r="C502" t="s">
        <v>1211</v>
      </c>
      <c r="D502" t="s">
        <v>1221</v>
      </c>
      <c r="E502" t="s">
        <v>1498</v>
      </c>
      <c r="F502" t="s">
        <v>1901</v>
      </c>
      <c r="G502" t="s">
        <v>1908</v>
      </c>
      <c r="H502" t="s">
        <v>1917</v>
      </c>
      <c r="I502" s="4">
        <v>52</v>
      </c>
      <c r="J502" s="3">
        <v>340</v>
      </c>
      <c r="K502" s="3">
        <f>Table1[[#This Row],[Quantity Sold]]*Table1[[#This Row],[Unit Price (INR)]]</f>
        <v>17680</v>
      </c>
      <c r="L502" t="s">
        <v>1920</v>
      </c>
    </row>
    <row r="503" spans="1:12" x14ac:dyDescent="0.35">
      <c r="A503" t="s">
        <v>512</v>
      </c>
      <c r="B503" s="5">
        <v>46009</v>
      </c>
      <c r="C503" t="s">
        <v>1216</v>
      </c>
      <c r="D503" t="s">
        <v>1239</v>
      </c>
      <c r="E503" t="s">
        <v>1635</v>
      </c>
      <c r="F503" t="s">
        <v>1899</v>
      </c>
      <c r="G503" t="s">
        <v>1908</v>
      </c>
      <c r="H503" t="s">
        <v>1918</v>
      </c>
      <c r="I503" s="4">
        <v>362</v>
      </c>
      <c r="J503" s="3">
        <v>163</v>
      </c>
      <c r="K503" s="3">
        <f>Table1[[#This Row],[Quantity Sold]]*Table1[[#This Row],[Unit Price (INR)]]</f>
        <v>59006</v>
      </c>
      <c r="L503" t="s">
        <v>1923</v>
      </c>
    </row>
    <row r="504" spans="1:12" x14ac:dyDescent="0.35">
      <c r="A504" t="s">
        <v>513</v>
      </c>
      <c r="B504" s="5">
        <v>46010</v>
      </c>
      <c r="C504" t="s">
        <v>1214</v>
      </c>
      <c r="D504" t="s">
        <v>1226</v>
      </c>
      <c r="E504" t="s">
        <v>1636</v>
      </c>
      <c r="F504" t="s">
        <v>1905</v>
      </c>
      <c r="G504" t="s">
        <v>1907</v>
      </c>
      <c r="H504" t="s">
        <v>1913</v>
      </c>
      <c r="I504" s="4">
        <v>254</v>
      </c>
      <c r="J504" s="3">
        <v>430</v>
      </c>
      <c r="K504" s="3">
        <f>Table1[[#This Row],[Quantity Sold]]*Table1[[#This Row],[Unit Price (INR)]]</f>
        <v>109220</v>
      </c>
      <c r="L504" t="s">
        <v>1920</v>
      </c>
    </row>
    <row r="505" spans="1:12" x14ac:dyDescent="0.35">
      <c r="A505" t="s">
        <v>514</v>
      </c>
      <c r="B505" s="5">
        <v>46011</v>
      </c>
      <c r="C505" t="s">
        <v>1212</v>
      </c>
      <c r="D505" t="s">
        <v>1233</v>
      </c>
      <c r="E505" t="s">
        <v>1330</v>
      </c>
      <c r="F505" t="s">
        <v>1899</v>
      </c>
      <c r="G505" t="s">
        <v>1907</v>
      </c>
      <c r="H505" t="s">
        <v>1914</v>
      </c>
      <c r="I505" s="4">
        <v>296</v>
      </c>
      <c r="J505" s="3">
        <v>434</v>
      </c>
      <c r="K505" s="3">
        <f>Table1[[#This Row],[Quantity Sold]]*Table1[[#This Row],[Unit Price (INR)]]</f>
        <v>128464</v>
      </c>
      <c r="L505" t="s">
        <v>1920</v>
      </c>
    </row>
    <row r="506" spans="1:12" x14ac:dyDescent="0.35">
      <c r="A506" t="s">
        <v>515</v>
      </c>
      <c r="B506" s="5">
        <v>46012</v>
      </c>
      <c r="C506" t="s">
        <v>1213</v>
      </c>
      <c r="D506" t="s">
        <v>1234</v>
      </c>
      <c r="E506" t="s">
        <v>1460</v>
      </c>
      <c r="F506" t="s">
        <v>1899</v>
      </c>
      <c r="G506" t="s">
        <v>1911</v>
      </c>
      <c r="H506" t="s">
        <v>1915</v>
      </c>
      <c r="I506" s="4">
        <v>364</v>
      </c>
      <c r="J506" s="3">
        <v>357</v>
      </c>
      <c r="K506" s="3">
        <f>Table1[[#This Row],[Quantity Sold]]*Table1[[#This Row],[Unit Price (INR)]]</f>
        <v>129948</v>
      </c>
      <c r="L506" t="s">
        <v>1922</v>
      </c>
    </row>
    <row r="507" spans="1:12" x14ac:dyDescent="0.35">
      <c r="A507" t="s">
        <v>516</v>
      </c>
      <c r="B507" s="5">
        <v>46013</v>
      </c>
      <c r="C507" t="s">
        <v>1217</v>
      </c>
      <c r="D507" t="s">
        <v>1237</v>
      </c>
      <c r="E507" t="s">
        <v>1637</v>
      </c>
      <c r="F507" t="s">
        <v>1900</v>
      </c>
      <c r="G507" t="s">
        <v>1911</v>
      </c>
      <c r="H507" t="s">
        <v>1918</v>
      </c>
      <c r="I507" s="4">
        <v>282</v>
      </c>
      <c r="J507" s="3">
        <v>390</v>
      </c>
      <c r="K507" s="3">
        <f>Table1[[#This Row],[Quantity Sold]]*Table1[[#This Row],[Unit Price (INR)]]</f>
        <v>109980</v>
      </c>
      <c r="L507" t="s">
        <v>1923</v>
      </c>
    </row>
    <row r="508" spans="1:12" x14ac:dyDescent="0.35">
      <c r="A508" t="s">
        <v>517</v>
      </c>
      <c r="B508" s="5">
        <v>46014</v>
      </c>
      <c r="C508" t="s">
        <v>1213</v>
      </c>
      <c r="D508" t="s">
        <v>1220</v>
      </c>
      <c r="E508" t="s">
        <v>1603</v>
      </c>
      <c r="F508" t="s">
        <v>1897</v>
      </c>
      <c r="G508" t="s">
        <v>1908</v>
      </c>
      <c r="H508" t="s">
        <v>1912</v>
      </c>
      <c r="I508" s="4">
        <v>485</v>
      </c>
      <c r="J508" s="3">
        <v>247</v>
      </c>
      <c r="K508" s="3">
        <f>Table1[[#This Row],[Quantity Sold]]*Table1[[#This Row],[Unit Price (INR)]]</f>
        <v>119795</v>
      </c>
      <c r="L508" t="s">
        <v>1920</v>
      </c>
    </row>
    <row r="509" spans="1:12" x14ac:dyDescent="0.35">
      <c r="A509" t="s">
        <v>518</v>
      </c>
      <c r="B509" s="5">
        <v>46015</v>
      </c>
      <c r="C509" t="s">
        <v>1212</v>
      </c>
      <c r="D509" t="s">
        <v>1219</v>
      </c>
      <c r="E509" t="s">
        <v>1638</v>
      </c>
      <c r="F509" t="s">
        <v>1897</v>
      </c>
      <c r="G509" t="s">
        <v>1908</v>
      </c>
      <c r="H509" t="s">
        <v>1913</v>
      </c>
      <c r="I509" s="4">
        <v>92</v>
      </c>
      <c r="J509" s="3">
        <v>470</v>
      </c>
      <c r="K509" s="3">
        <f>Table1[[#This Row],[Quantity Sold]]*Table1[[#This Row],[Unit Price (INR)]]</f>
        <v>43240</v>
      </c>
      <c r="L509" t="s">
        <v>1920</v>
      </c>
    </row>
    <row r="510" spans="1:12" x14ac:dyDescent="0.35">
      <c r="A510" t="s">
        <v>519</v>
      </c>
      <c r="B510" s="5">
        <v>46016</v>
      </c>
      <c r="C510" t="s">
        <v>1212</v>
      </c>
      <c r="D510" t="s">
        <v>1219</v>
      </c>
      <c r="E510" t="s">
        <v>1515</v>
      </c>
      <c r="F510" t="s">
        <v>1906</v>
      </c>
      <c r="G510" t="s">
        <v>1910</v>
      </c>
      <c r="H510" t="s">
        <v>1915</v>
      </c>
      <c r="I510" s="4">
        <v>119</v>
      </c>
      <c r="J510" s="3">
        <v>370</v>
      </c>
      <c r="K510" s="3">
        <f>Table1[[#This Row],[Quantity Sold]]*Table1[[#This Row],[Unit Price (INR)]]</f>
        <v>44030</v>
      </c>
      <c r="L510" t="s">
        <v>1920</v>
      </c>
    </row>
    <row r="511" spans="1:12" x14ac:dyDescent="0.35">
      <c r="A511" t="s">
        <v>520</v>
      </c>
      <c r="B511" s="5">
        <v>46017</v>
      </c>
      <c r="C511" t="s">
        <v>1212</v>
      </c>
      <c r="D511" t="s">
        <v>1219</v>
      </c>
      <c r="E511" t="s">
        <v>1639</v>
      </c>
      <c r="F511" t="s">
        <v>1903</v>
      </c>
      <c r="G511" t="s">
        <v>1910</v>
      </c>
      <c r="H511" t="s">
        <v>1912</v>
      </c>
      <c r="I511" s="4">
        <v>447</v>
      </c>
      <c r="J511" s="3">
        <v>228</v>
      </c>
      <c r="K511" s="3">
        <f>Table1[[#This Row],[Quantity Sold]]*Table1[[#This Row],[Unit Price (INR)]]</f>
        <v>101916</v>
      </c>
      <c r="L511" t="s">
        <v>1921</v>
      </c>
    </row>
    <row r="512" spans="1:12" x14ac:dyDescent="0.35">
      <c r="A512" t="s">
        <v>521</v>
      </c>
      <c r="B512" s="5">
        <v>46018</v>
      </c>
      <c r="C512" t="s">
        <v>1213</v>
      </c>
      <c r="D512" t="s">
        <v>1223</v>
      </c>
      <c r="E512" t="s">
        <v>1640</v>
      </c>
      <c r="F512" t="s">
        <v>1900</v>
      </c>
      <c r="G512" t="s">
        <v>1911</v>
      </c>
      <c r="H512" t="s">
        <v>1915</v>
      </c>
      <c r="I512" s="4">
        <v>199</v>
      </c>
      <c r="J512" s="3">
        <v>434</v>
      </c>
      <c r="K512" s="3">
        <f>Table1[[#This Row],[Quantity Sold]]*Table1[[#This Row],[Unit Price (INR)]]</f>
        <v>86366</v>
      </c>
      <c r="L512" t="s">
        <v>1920</v>
      </c>
    </row>
    <row r="513" spans="1:12" x14ac:dyDescent="0.35">
      <c r="A513" t="s">
        <v>522</v>
      </c>
      <c r="B513" s="5">
        <v>46019</v>
      </c>
      <c r="C513" t="s">
        <v>1211</v>
      </c>
      <c r="D513" t="s">
        <v>1221</v>
      </c>
      <c r="E513" t="s">
        <v>1641</v>
      </c>
      <c r="F513" t="s">
        <v>1906</v>
      </c>
      <c r="G513" t="s">
        <v>1911</v>
      </c>
      <c r="H513" t="s">
        <v>1912</v>
      </c>
      <c r="I513" s="4">
        <v>480</v>
      </c>
      <c r="J513" s="3">
        <v>268</v>
      </c>
      <c r="K513" s="3">
        <f>Table1[[#This Row],[Quantity Sold]]*Table1[[#This Row],[Unit Price (INR)]]</f>
        <v>128640</v>
      </c>
      <c r="L513" t="s">
        <v>1922</v>
      </c>
    </row>
    <row r="514" spans="1:12" x14ac:dyDescent="0.35">
      <c r="A514" t="s">
        <v>523</v>
      </c>
      <c r="B514" s="5">
        <v>46020</v>
      </c>
      <c r="C514" t="s">
        <v>1212</v>
      </c>
      <c r="D514" t="s">
        <v>1240</v>
      </c>
      <c r="E514" t="s">
        <v>1642</v>
      </c>
      <c r="F514" t="s">
        <v>1898</v>
      </c>
      <c r="G514" t="s">
        <v>1910</v>
      </c>
      <c r="H514" t="s">
        <v>1915</v>
      </c>
      <c r="I514" s="4">
        <v>297</v>
      </c>
      <c r="J514" s="3">
        <v>326</v>
      </c>
      <c r="K514" s="3">
        <f>Table1[[#This Row],[Quantity Sold]]*Table1[[#This Row],[Unit Price (INR)]]</f>
        <v>96822</v>
      </c>
      <c r="L514" t="s">
        <v>1923</v>
      </c>
    </row>
    <row r="515" spans="1:12" x14ac:dyDescent="0.35">
      <c r="A515" t="s">
        <v>524</v>
      </c>
      <c r="B515" s="5">
        <v>46021</v>
      </c>
      <c r="C515" t="s">
        <v>1216</v>
      </c>
      <c r="D515" t="s">
        <v>1230</v>
      </c>
      <c r="E515" t="s">
        <v>1643</v>
      </c>
      <c r="F515" t="s">
        <v>1903</v>
      </c>
      <c r="G515" t="s">
        <v>1910</v>
      </c>
      <c r="H515" t="s">
        <v>1913</v>
      </c>
      <c r="I515" s="4">
        <v>433</v>
      </c>
      <c r="J515" s="3">
        <v>486</v>
      </c>
      <c r="K515" s="3">
        <f>Table1[[#This Row],[Quantity Sold]]*Table1[[#This Row],[Unit Price (INR)]]</f>
        <v>210438</v>
      </c>
      <c r="L515" t="s">
        <v>1923</v>
      </c>
    </row>
    <row r="516" spans="1:12" x14ac:dyDescent="0.35">
      <c r="A516" t="s">
        <v>525</v>
      </c>
      <c r="B516" s="5">
        <v>46022</v>
      </c>
      <c r="C516" t="s">
        <v>1213</v>
      </c>
      <c r="D516" t="s">
        <v>1234</v>
      </c>
      <c r="E516" t="s">
        <v>1488</v>
      </c>
      <c r="F516" t="s">
        <v>1903</v>
      </c>
      <c r="G516" t="s">
        <v>1909</v>
      </c>
      <c r="H516" t="s">
        <v>1918</v>
      </c>
      <c r="I516" s="4">
        <v>406</v>
      </c>
      <c r="J516" s="3">
        <v>65</v>
      </c>
      <c r="K516" s="3">
        <f>Table1[[#This Row],[Quantity Sold]]*Table1[[#This Row],[Unit Price (INR)]]</f>
        <v>26390</v>
      </c>
      <c r="L516" t="s">
        <v>1920</v>
      </c>
    </row>
    <row r="517" spans="1:12" x14ac:dyDescent="0.35">
      <c r="A517" t="s">
        <v>526</v>
      </c>
      <c r="B517" s="5">
        <v>46023</v>
      </c>
      <c r="C517" t="s">
        <v>1212</v>
      </c>
      <c r="D517" t="s">
        <v>1229</v>
      </c>
      <c r="E517" t="s">
        <v>1635</v>
      </c>
      <c r="F517" t="s">
        <v>1904</v>
      </c>
      <c r="G517" t="s">
        <v>1909</v>
      </c>
      <c r="H517" t="s">
        <v>1915</v>
      </c>
      <c r="I517" s="4">
        <v>260</v>
      </c>
      <c r="J517" s="3">
        <v>428</v>
      </c>
      <c r="K517" s="3">
        <f>Table1[[#This Row],[Quantity Sold]]*Table1[[#This Row],[Unit Price (INR)]]</f>
        <v>111280</v>
      </c>
      <c r="L517" t="s">
        <v>1920</v>
      </c>
    </row>
    <row r="518" spans="1:12" x14ac:dyDescent="0.35">
      <c r="A518" t="s">
        <v>527</v>
      </c>
      <c r="B518" s="5">
        <v>46024</v>
      </c>
      <c r="C518" t="s">
        <v>1216</v>
      </c>
      <c r="D518" t="s">
        <v>1241</v>
      </c>
      <c r="E518" t="s">
        <v>1644</v>
      </c>
      <c r="F518" t="s">
        <v>1904</v>
      </c>
      <c r="G518" t="s">
        <v>1910</v>
      </c>
      <c r="H518" t="s">
        <v>1915</v>
      </c>
      <c r="I518" s="4">
        <v>221</v>
      </c>
      <c r="J518" s="3">
        <v>110</v>
      </c>
      <c r="K518" s="3">
        <f>Table1[[#This Row],[Quantity Sold]]*Table1[[#This Row],[Unit Price (INR)]]</f>
        <v>24310</v>
      </c>
      <c r="L518" t="s">
        <v>1920</v>
      </c>
    </row>
    <row r="519" spans="1:12" x14ac:dyDescent="0.35">
      <c r="A519" t="s">
        <v>528</v>
      </c>
      <c r="B519" s="5">
        <v>46025</v>
      </c>
      <c r="C519" t="s">
        <v>1211</v>
      </c>
      <c r="D519" t="s">
        <v>1218</v>
      </c>
      <c r="E519" t="s">
        <v>1645</v>
      </c>
      <c r="F519" t="s">
        <v>1902</v>
      </c>
      <c r="G519" t="s">
        <v>1909</v>
      </c>
      <c r="H519" t="s">
        <v>1919</v>
      </c>
      <c r="I519" s="4">
        <v>300</v>
      </c>
      <c r="J519" s="3">
        <v>103</v>
      </c>
      <c r="K519" s="3">
        <f>Table1[[#This Row],[Quantity Sold]]*Table1[[#This Row],[Unit Price (INR)]]</f>
        <v>30900</v>
      </c>
      <c r="L519" t="s">
        <v>1923</v>
      </c>
    </row>
    <row r="520" spans="1:12" x14ac:dyDescent="0.35">
      <c r="A520" t="s">
        <v>529</v>
      </c>
      <c r="B520" s="5">
        <v>46026</v>
      </c>
      <c r="C520" t="s">
        <v>1214</v>
      </c>
      <c r="D520" t="s">
        <v>1227</v>
      </c>
      <c r="E520" t="s">
        <v>1646</v>
      </c>
      <c r="F520" t="s">
        <v>1902</v>
      </c>
      <c r="G520" t="s">
        <v>1907</v>
      </c>
      <c r="H520" t="s">
        <v>1914</v>
      </c>
      <c r="I520" s="4">
        <v>142</v>
      </c>
      <c r="J520" s="3">
        <v>217</v>
      </c>
      <c r="K520" s="3">
        <f>Table1[[#This Row],[Quantity Sold]]*Table1[[#This Row],[Unit Price (INR)]]</f>
        <v>30814</v>
      </c>
      <c r="L520" t="s">
        <v>1923</v>
      </c>
    </row>
    <row r="521" spans="1:12" x14ac:dyDescent="0.35">
      <c r="A521" t="s">
        <v>530</v>
      </c>
      <c r="B521" s="5">
        <v>46027</v>
      </c>
      <c r="C521" t="s">
        <v>1211</v>
      </c>
      <c r="D521" t="s">
        <v>1224</v>
      </c>
      <c r="E521" t="s">
        <v>1647</v>
      </c>
      <c r="F521" t="s">
        <v>1899</v>
      </c>
      <c r="G521" t="s">
        <v>1911</v>
      </c>
      <c r="H521" t="s">
        <v>1913</v>
      </c>
      <c r="I521" s="4">
        <v>210</v>
      </c>
      <c r="J521" s="3">
        <v>75</v>
      </c>
      <c r="K521" s="3">
        <f>Table1[[#This Row],[Quantity Sold]]*Table1[[#This Row],[Unit Price (INR)]]</f>
        <v>15750</v>
      </c>
      <c r="L521" t="s">
        <v>1921</v>
      </c>
    </row>
    <row r="522" spans="1:12" x14ac:dyDescent="0.35">
      <c r="A522" t="s">
        <v>531</v>
      </c>
      <c r="B522" s="5">
        <v>46028</v>
      </c>
      <c r="C522" t="s">
        <v>1212</v>
      </c>
      <c r="D522" t="s">
        <v>1233</v>
      </c>
      <c r="E522" t="s">
        <v>1648</v>
      </c>
      <c r="F522" t="s">
        <v>1898</v>
      </c>
      <c r="G522" t="s">
        <v>1911</v>
      </c>
      <c r="H522" t="s">
        <v>1912</v>
      </c>
      <c r="I522" s="4">
        <v>294</v>
      </c>
      <c r="J522" s="3">
        <v>385</v>
      </c>
      <c r="K522" s="3">
        <f>Table1[[#This Row],[Quantity Sold]]*Table1[[#This Row],[Unit Price (INR)]]</f>
        <v>113190</v>
      </c>
      <c r="L522" t="s">
        <v>1922</v>
      </c>
    </row>
    <row r="523" spans="1:12" x14ac:dyDescent="0.35">
      <c r="A523" t="s">
        <v>532</v>
      </c>
      <c r="B523" s="5">
        <v>46029</v>
      </c>
      <c r="C523" t="s">
        <v>1213</v>
      </c>
      <c r="D523" t="s">
        <v>1244</v>
      </c>
      <c r="E523" t="s">
        <v>1649</v>
      </c>
      <c r="F523" t="s">
        <v>1901</v>
      </c>
      <c r="G523" t="s">
        <v>1910</v>
      </c>
      <c r="H523" t="s">
        <v>1913</v>
      </c>
      <c r="I523" s="4">
        <v>335</v>
      </c>
      <c r="J523" s="3">
        <v>114</v>
      </c>
      <c r="K523" s="3">
        <f>Table1[[#This Row],[Quantity Sold]]*Table1[[#This Row],[Unit Price (INR)]]</f>
        <v>38190</v>
      </c>
      <c r="L523" t="s">
        <v>1921</v>
      </c>
    </row>
    <row r="524" spans="1:12" x14ac:dyDescent="0.35">
      <c r="A524" t="s">
        <v>533</v>
      </c>
      <c r="B524" s="5">
        <v>46030</v>
      </c>
      <c r="C524" t="s">
        <v>1215</v>
      </c>
      <c r="D524" t="s">
        <v>1242</v>
      </c>
      <c r="E524" t="s">
        <v>1350</v>
      </c>
      <c r="F524" t="s">
        <v>1901</v>
      </c>
      <c r="G524" t="s">
        <v>1908</v>
      </c>
      <c r="H524" t="s">
        <v>1917</v>
      </c>
      <c r="I524" s="4">
        <v>418</v>
      </c>
      <c r="J524" s="3">
        <v>149</v>
      </c>
      <c r="K524" s="3">
        <f>Table1[[#This Row],[Quantity Sold]]*Table1[[#This Row],[Unit Price (INR)]]</f>
        <v>62282</v>
      </c>
      <c r="L524" t="s">
        <v>1922</v>
      </c>
    </row>
    <row r="525" spans="1:12" x14ac:dyDescent="0.35">
      <c r="A525" t="s">
        <v>534</v>
      </c>
      <c r="B525" s="5">
        <v>46031</v>
      </c>
      <c r="C525" t="s">
        <v>1212</v>
      </c>
      <c r="D525" t="s">
        <v>1219</v>
      </c>
      <c r="E525" t="s">
        <v>1650</v>
      </c>
      <c r="F525" t="s">
        <v>1904</v>
      </c>
      <c r="G525" t="s">
        <v>1910</v>
      </c>
      <c r="H525" t="s">
        <v>1912</v>
      </c>
      <c r="I525" s="4">
        <v>104</v>
      </c>
      <c r="J525" s="3">
        <v>123</v>
      </c>
      <c r="K525" s="3">
        <f>Table1[[#This Row],[Quantity Sold]]*Table1[[#This Row],[Unit Price (INR)]]</f>
        <v>12792</v>
      </c>
      <c r="L525" t="s">
        <v>1921</v>
      </c>
    </row>
    <row r="526" spans="1:12" x14ac:dyDescent="0.35">
      <c r="A526" t="s">
        <v>535</v>
      </c>
      <c r="B526" s="5">
        <v>46032</v>
      </c>
      <c r="C526" t="s">
        <v>1215</v>
      </c>
      <c r="D526" t="s">
        <v>1243</v>
      </c>
      <c r="E526" t="s">
        <v>1651</v>
      </c>
      <c r="F526" t="s">
        <v>1904</v>
      </c>
      <c r="G526" t="s">
        <v>1909</v>
      </c>
      <c r="H526" t="s">
        <v>1913</v>
      </c>
      <c r="I526" s="4">
        <v>287</v>
      </c>
      <c r="J526" s="3">
        <v>241</v>
      </c>
      <c r="K526" s="3">
        <f>Table1[[#This Row],[Quantity Sold]]*Table1[[#This Row],[Unit Price (INR)]]</f>
        <v>69167</v>
      </c>
      <c r="L526" t="s">
        <v>1923</v>
      </c>
    </row>
    <row r="527" spans="1:12" x14ac:dyDescent="0.35">
      <c r="A527" t="s">
        <v>536</v>
      </c>
      <c r="B527" s="5">
        <v>46033</v>
      </c>
      <c r="C527" t="s">
        <v>1216</v>
      </c>
      <c r="D527" t="s">
        <v>1239</v>
      </c>
      <c r="E527" t="s">
        <v>1252</v>
      </c>
      <c r="F527" t="s">
        <v>1904</v>
      </c>
      <c r="G527" t="s">
        <v>1908</v>
      </c>
      <c r="H527" t="s">
        <v>1918</v>
      </c>
      <c r="I527" s="4">
        <v>459</v>
      </c>
      <c r="J527" s="3">
        <v>220</v>
      </c>
      <c r="K527" s="3">
        <f>Table1[[#This Row],[Quantity Sold]]*Table1[[#This Row],[Unit Price (INR)]]</f>
        <v>100980</v>
      </c>
      <c r="L527" t="s">
        <v>1921</v>
      </c>
    </row>
    <row r="528" spans="1:12" x14ac:dyDescent="0.35">
      <c r="A528" t="s">
        <v>537</v>
      </c>
      <c r="B528" s="5">
        <v>46034</v>
      </c>
      <c r="C528" t="s">
        <v>1214</v>
      </c>
      <c r="D528" t="s">
        <v>1226</v>
      </c>
      <c r="E528" t="s">
        <v>1247</v>
      </c>
      <c r="F528" t="s">
        <v>1900</v>
      </c>
      <c r="G528" t="s">
        <v>1909</v>
      </c>
      <c r="H528" t="s">
        <v>1912</v>
      </c>
      <c r="I528" s="4">
        <v>438</v>
      </c>
      <c r="J528" s="3">
        <v>322</v>
      </c>
      <c r="K528" s="3">
        <f>Table1[[#This Row],[Quantity Sold]]*Table1[[#This Row],[Unit Price (INR)]]</f>
        <v>141036</v>
      </c>
      <c r="L528" t="s">
        <v>1922</v>
      </c>
    </row>
    <row r="529" spans="1:12" x14ac:dyDescent="0.35">
      <c r="A529" t="s">
        <v>538</v>
      </c>
      <c r="B529" s="5">
        <v>46035</v>
      </c>
      <c r="C529" t="s">
        <v>1217</v>
      </c>
      <c r="D529" t="s">
        <v>1237</v>
      </c>
      <c r="E529" t="s">
        <v>1652</v>
      </c>
      <c r="F529" t="s">
        <v>1905</v>
      </c>
      <c r="G529" t="s">
        <v>1907</v>
      </c>
      <c r="H529" t="s">
        <v>1912</v>
      </c>
      <c r="I529" s="4">
        <v>334</v>
      </c>
      <c r="J529" s="3">
        <v>426</v>
      </c>
      <c r="K529" s="3">
        <f>Table1[[#This Row],[Quantity Sold]]*Table1[[#This Row],[Unit Price (INR)]]</f>
        <v>142284</v>
      </c>
      <c r="L529" t="s">
        <v>1920</v>
      </c>
    </row>
    <row r="530" spans="1:12" x14ac:dyDescent="0.35">
      <c r="A530" t="s">
        <v>539</v>
      </c>
      <c r="B530" s="5">
        <v>46036</v>
      </c>
      <c r="C530" t="s">
        <v>1211</v>
      </c>
      <c r="D530" t="s">
        <v>1221</v>
      </c>
      <c r="E530" t="s">
        <v>1653</v>
      </c>
      <c r="F530" t="s">
        <v>1902</v>
      </c>
      <c r="G530" t="s">
        <v>1909</v>
      </c>
      <c r="H530" t="s">
        <v>1913</v>
      </c>
      <c r="I530" s="4">
        <v>228</v>
      </c>
      <c r="J530" s="3">
        <v>236</v>
      </c>
      <c r="K530" s="3">
        <f>Table1[[#This Row],[Quantity Sold]]*Table1[[#This Row],[Unit Price (INR)]]</f>
        <v>53808</v>
      </c>
      <c r="L530" t="s">
        <v>1922</v>
      </c>
    </row>
    <row r="531" spans="1:12" x14ac:dyDescent="0.35">
      <c r="A531" t="s">
        <v>540</v>
      </c>
      <c r="B531" s="5">
        <v>46037</v>
      </c>
      <c r="C531" t="s">
        <v>1214</v>
      </c>
      <c r="D531" t="s">
        <v>1228</v>
      </c>
      <c r="E531" t="s">
        <v>1257</v>
      </c>
      <c r="F531" t="s">
        <v>1900</v>
      </c>
      <c r="G531" t="s">
        <v>1907</v>
      </c>
      <c r="H531" t="s">
        <v>1912</v>
      </c>
      <c r="I531" s="4">
        <v>98</v>
      </c>
      <c r="J531" s="3">
        <v>72</v>
      </c>
      <c r="K531" s="3">
        <f>Table1[[#This Row],[Quantity Sold]]*Table1[[#This Row],[Unit Price (INR)]]</f>
        <v>7056</v>
      </c>
      <c r="L531" t="s">
        <v>1920</v>
      </c>
    </row>
    <row r="532" spans="1:12" x14ac:dyDescent="0.35">
      <c r="A532" t="s">
        <v>541</v>
      </c>
      <c r="B532" s="5">
        <v>46038</v>
      </c>
      <c r="C532" t="s">
        <v>1212</v>
      </c>
      <c r="D532" t="s">
        <v>1233</v>
      </c>
      <c r="E532" t="s">
        <v>1283</v>
      </c>
      <c r="F532" t="s">
        <v>1897</v>
      </c>
      <c r="G532" t="s">
        <v>1907</v>
      </c>
      <c r="H532" t="s">
        <v>1919</v>
      </c>
      <c r="I532" s="4">
        <v>81</v>
      </c>
      <c r="J532" s="3">
        <v>440</v>
      </c>
      <c r="K532" s="3">
        <f>Table1[[#This Row],[Quantity Sold]]*Table1[[#This Row],[Unit Price (INR)]]</f>
        <v>35640</v>
      </c>
      <c r="L532" t="s">
        <v>1923</v>
      </c>
    </row>
    <row r="533" spans="1:12" x14ac:dyDescent="0.35">
      <c r="A533" t="s">
        <v>542</v>
      </c>
      <c r="B533" s="5">
        <v>46039</v>
      </c>
      <c r="C533" t="s">
        <v>1215</v>
      </c>
      <c r="D533" t="s">
        <v>1225</v>
      </c>
      <c r="E533" t="s">
        <v>1370</v>
      </c>
      <c r="F533" t="s">
        <v>1901</v>
      </c>
      <c r="G533" t="s">
        <v>1909</v>
      </c>
      <c r="H533" t="s">
        <v>1914</v>
      </c>
      <c r="I533" s="4">
        <v>256</v>
      </c>
      <c r="J533" s="3">
        <v>477</v>
      </c>
      <c r="K533" s="3">
        <f>Table1[[#This Row],[Quantity Sold]]*Table1[[#This Row],[Unit Price (INR)]]</f>
        <v>122112</v>
      </c>
      <c r="L533" t="s">
        <v>1922</v>
      </c>
    </row>
    <row r="534" spans="1:12" x14ac:dyDescent="0.35">
      <c r="A534" t="s">
        <v>543</v>
      </c>
      <c r="B534" s="5">
        <v>46040</v>
      </c>
      <c r="C534" t="s">
        <v>1211</v>
      </c>
      <c r="D534" t="s">
        <v>1218</v>
      </c>
      <c r="E534" t="s">
        <v>1654</v>
      </c>
      <c r="F534" t="s">
        <v>1903</v>
      </c>
      <c r="G534" t="s">
        <v>1909</v>
      </c>
      <c r="H534" t="s">
        <v>1912</v>
      </c>
      <c r="I534" s="4">
        <v>138</v>
      </c>
      <c r="J534" s="3">
        <v>230</v>
      </c>
      <c r="K534" s="3">
        <f>Table1[[#This Row],[Quantity Sold]]*Table1[[#This Row],[Unit Price (INR)]]</f>
        <v>31740</v>
      </c>
      <c r="L534" t="s">
        <v>1921</v>
      </c>
    </row>
    <row r="535" spans="1:12" x14ac:dyDescent="0.35">
      <c r="A535" t="s">
        <v>544</v>
      </c>
      <c r="B535" s="5">
        <v>46041</v>
      </c>
      <c r="C535" t="s">
        <v>1215</v>
      </c>
      <c r="D535" t="s">
        <v>1242</v>
      </c>
      <c r="E535" t="s">
        <v>1475</v>
      </c>
      <c r="F535" t="s">
        <v>1902</v>
      </c>
      <c r="G535" t="s">
        <v>1907</v>
      </c>
      <c r="H535" t="s">
        <v>1914</v>
      </c>
      <c r="I535" s="4">
        <v>221</v>
      </c>
      <c r="J535" s="3">
        <v>376</v>
      </c>
      <c r="K535" s="3">
        <f>Table1[[#This Row],[Quantity Sold]]*Table1[[#This Row],[Unit Price (INR)]]</f>
        <v>83096</v>
      </c>
      <c r="L535" t="s">
        <v>1922</v>
      </c>
    </row>
    <row r="536" spans="1:12" x14ac:dyDescent="0.35">
      <c r="A536" t="s">
        <v>545</v>
      </c>
      <c r="B536" s="5">
        <v>46042</v>
      </c>
      <c r="C536" t="s">
        <v>1213</v>
      </c>
      <c r="D536" t="s">
        <v>1244</v>
      </c>
      <c r="E536" t="s">
        <v>1655</v>
      </c>
      <c r="F536" t="s">
        <v>1906</v>
      </c>
      <c r="G536" t="s">
        <v>1908</v>
      </c>
      <c r="H536" t="s">
        <v>1913</v>
      </c>
      <c r="I536" s="4">
        <v>437</v>
      </c>
      <c r="J536" s="3">
        <v>157</v>
      </c>
      <c r="K536" s="3">
        <f>Table1[[#This Row],[Quantity Sold]]*Table1[[#This Row],[Unit Price (INR)]]</f>
        <v>68609</v>
      </c>
      <c r="L536" t="s">
        <v>1920</v>
      </c>
    </row>
    <row r="537" spans="1:12" x14ac:dyDescent="0.35">
      <c r="A537" t="s">
        <v>546</v>
      </c>
      <c r="B537" s="5">
        <v>46043</v>
      </c>
      <c r="C537" t="s">
        <v>1215</v>
      </c>
      <c r="D537" t="s">
        <v>1231</v>
      </c>
      <c r="E537" t="s">
        <v>1384</v>
      </c>
      <c r="F537" t="s">
        <v>1897</v>
      </c>
      <c r="G537" t="s">
        <v>1907</v>
      </c>
      <c r="H537" t="s">
        <v>1915</v>
      </c>
      <c r="I537" s="4">
        <v>352</v>
      </c>
      <c r="J537" s="3">
        <v>384</v>
      </c>
      <c r="K537" s="3">
        <f>Table1[[#This Row],[Quantity Sold]]*Table1[[#This Row],[Unit Price (INR)]]</f>
        <v>135168</v>
      </c>
      <c r="L537" t="s">
        <v>1923</v>
      </c>
    </row>
    <row r="538" spans="1:12" x14ac:dyDescent="0.35">
      <c r="A538" t="s">
        <v>547</v>
      </c>
      <c r="B538" s="5">
        <v>46044</v>
      </c>
      <c r="C538" t="s">
        <v>1213</v>
      </c>
      <c r="D538" t="s">
        <v>1220</v>
      </c>
      <c r="E538" t="s">
        <v>1313</v>
      </c>
      <c r="F538" t="s">
        <v>1902</v>
      </c>
      <c r="G538" t="s">
        <v>1911</v>
      </c>
      <c r="H538" t="s">
        <v>1916</v>
      </c>
      <c r="I538" s="4">
        <v>105</v>
      </c>
      <c r="J538" s="3">
        <v>211</v>
      </c>
      <c r="K538" s="3">
        <f>Table1[[#This Row],[Quantity Sold]]*Table1[[#This Row],[Unit Price (INR)]]</f>
        <v>22155</v>
      </c>
      <c r="L538" t="s">
        <v>1921</v>
      </c>
    </row>
    <row r="539" spans="1:12" x14ac:dyDescent="0.35">
      <c r="A539" t="s">
        <v>548</v>
      </c>
      <c r="B539" s="5">
        <v>46045</v>
      </c>
      <c r="C539" t="s">
        <v>1216</v>
      </c>
      <c r="D539" t="s">
        <v>1232</v>
      </c>
      <c r="E539" t="s">
        <v>1656</v>
      </c>
      <c r="F539" t="s">
        <v>1900</v>
      </c>
      <c r="G539" t="s">
        <v>1907</v>
      </c>
      <c r="H539" t="s">
        <v>1916</v>
      </c>
      <c r="I539" s="4">
        <v>84</v>
      </c>
      <c r="J539" s="3">
        <v>351</v>
      </c>
      <c r="K539" s="3">
        <f>Table1[[#This Row],[Quantity Sold]]*Table1[[#This Row],[Unit Price (INR)]]</f>
        <v>29484</v>
      </c>
      <c r="L539" t="s">
        <v>1922</v>
      </c>
    </row>
    <row r="540" spans="1:12" x14ac:dyDescent="0.35">
      <c r="A540" t="s">
        <v>549</v>
      </c>
      <c r="B540" s="5">
        <v>46046</v>
      </c>
      <c r="C540" t="s">
        <v>1211</v>
      </c>
      <c r="D540" t="s">
        <v>1221</v>
      </c>
      <c r="E540" t="s">
        <v>1657</v>
      </c>
      <c r="F540" t="s">
        <v>1898</v>
      </c>
      <c r="G540" t="s">
        <v>1908</v>
      </c>
      <c r="H540" t="s">
        <v>1915</v>
      </c>
      <c r="I540" s="4">
        <v>432</v>
      </c>
      <c r="J540" s="3">
        <v>255</v>
      </c>
      <c r="K540" s="3">
        <f>Table1[[#This Row],[Quantity Sold]]*Table1[[#This Row],[Unit Price (INR)]]</f>
        <v>110160</v>
      </c>
      <c r="L540" t="s">
        <v>1920</v>
      </c>
    </row>
    <row r="541" spans="1:12" x14ac:dyDescent="0.35">
      <c r="A541" t="s">
        <v>550</v>
      </c>
      <c r="B541" s="5">
        <v>46047</v>
      </c>
      <c r="C541" t="s">
        <v>1211</v>
      </c>
      <c r="D541" t="s">
        <v>1218</v>
      </c>
      <c r="E541" t="s">
        <v>1658</v>
      </c>
      <c r="F541" t="s">
        <v>1903</v>
      </c>
      <c r="G541" t="s">
        <v>1911</v>
      </c>
      <c r="H541" t="s">
        <v>1915</v>
      </c>
      <c r="I541" s="4">
        <v>63</v>
      </c>
      <c r="J541" s="3">
        <v>127</v>
      </c>
      <c r="K541" s="3">
        <f>Table1[[#This Row],[Quantity Sold]]*Table1[[#This Row],[Unit Price (INR)]]</f>
        <v>8001</v>
      </c>
      <c r="L541" t="s">
        <v>1921</v>
      </c>
    </row>
    <row r="542" spans="1:12" x14ac:dyDescent="0.35">
      <c r="A542" t="s">
        <v>551</v>
      </c>
      <c r="B542" s="5">
        <v>46048</v>
      </c>
      <c r="C542" t="s">
        <v>1217</v>
      </c>
      <c r="D542" t="s">
        <v>1246</v>
      </c>
      <c r="E542" t="s">
        <v>1659</v>
      </c>
      <c r="F542" t="s">
        <v>1902</v>
      </c>
      <c r="G542" t="s">
        <v>1910</v>
      </c>
      <c r="H542" t="s">
        <v>1915</v>
      </c>
      <c r="I542" s="4">
        <v>353</v>
      </c>
      <c r="J542" s="3">
        <v>65</v>
      </c>
      <c r="K542" s="3">
        <f>Table1[[#This Row],[Quantity Sold]]*Table1[[#This Row],[Unit Price (INR)]]</f>
        <v>22945</v>
      </c>
      <c r="L542" t="s">
        <v>1923</v>
      </c>
    </row>
    <row r="543" spans="1:12" x14ac:dyDescent="0.35">
      <c r="A543" t="s">
        <v>552</v>
      </c>
      <c r="B543" s="5">
        <v>46049</v>
      </c>
      <c r="C543" t="s">
        <v>1212</v>
      </c>
      <c r="D543" t="s">
        <v>1229</v>
      </c>
      <c r="E543" t="s">
        <v>1660</v>
      </c>
      <c r="F543" t="s">
        <v>1905</v>
      </c>
      <c r="G543" t="s">
        <v>1910</v>
      </c>
      <c r="H543" t="s">
        <v>1918</v>
      </c>
      <c r="I543" s="4">
        <v>468</v>
      </c>
      <c r="J543" s="3">
        <v>376</v>
      </c>
      <c r="K543" s="3">
        <f>Table1[[#This Row],[Quantity Sold]]*Table1[[#This Row],[Unit Price (INR)]]</f>
        <v>175968</v>
      </c>
      <c r="L543" t="s">
        <v>1921</v>
      </c>
    </row>
    <row r="544" spans="1:12" x14ac:dyDescent="0.35">
      <c r="A544" t="s">
        <v>553</v>
      </c>
      <c r="B544" s="5">
        <v>46050</v>
      </c>
      <c r="C544" t="s">
        <v>1213</v>
      </c>
      <c r="D544" t="s">
        <v>1220</v>
      </c>
      <c r="E544" t="s">
        <v>1508</v>
      </c>
      <c r="F544" t="s">
        <v>1904</v>
      </c>
      <c r="G544" t="s">
        <v>1908</v>
      </c>
      <c r="H544" t="s">
        <v>1916</v>
      </c>
      <c r="I544" s="4">
        <v>422</v>
      </c>
      <c r="J544" s="3">
        <v>145</v>
      </c>
      <c r="K544" s="3">
        <f>Table1[[#This Row],[Quantity Sold]]*Table1[[#This Row],[Unit Price (INR)]]</f>
        <v>61190</v>
      </c>
      <c r="L544" t="s">
        <v>1923</v>
      </c>
    </row>
    <row r="545" spans="1:12" x14ac:dyDescent="0.35">
      <c r="A545" t="s">
        <v>554</v>
      </c>
      <c r="B545" s="5">
        <v>46051</v>
      </c>
      <c r="C545" t="s">
        <v>1217</v>
      </c>
      <c r="D545" t="s">
        <v>1238</v>
      </c>
      <c r="E545" t="s">
        <v>1661</v>
      </c>
      <c r="F545" t="s">
        <v>1904</v>
      </c>
      <c r="G545" t="s">
        <v>1907</v>
      </c>
      <c r="H545" t="s">
        <v>1915</v>
      </c>
      <c r="I545" s="4">
        <v>63</v>
      </c>
      <c r="J545" s="3">
        <v>196</v>
      </c>
      <c r="K545" s="3">
        <f>Table1[[#This Row],[Quantity Sold]]*Table1[[#This Row],[Unit Price (INR)]]</f>
        <v>12348</v>
      </c>
      <c r="L545" t="s">
        <v>1921</v>
      </c>
    </row>
    <row r="546" spans="1:12" x14ac:dyDescent="0.35">
      <c r="A546" t="s">
        <v>555</v>
      </c>
      <c r="B546" s="5">
        <v>46052</v>
      </c>
      <c r="C546" t="s">
        <v>1215</v>
      </c>
      <c r="D546" t="s">
        <v>1242</v>
      </c>
      <c r="E546" t="s">
        <v>1499</v>
      </c>
      <c r="F546" t="s">
        <v>1903</v>
      </c>
      <c r="G546" t="s">
        <v>1909</v>
      </c>
      <c r="H546" t="s">
        <v>1918</v>
      </c>
      <c r="I546" s="4">
        <v>227</v>
      </c>
      <c r="J546" s="3">
        <v>51</v>
      </c>
      <c r="K546" s="3">
        <f>Table1[[#This Row],[Quantity Sold]]*Table1[[#This Row],[Unit Price (INR)]]</f>
        <v>11577</v>
      </c>
      <c r="L546" t="s">
        <v>1922</v>
      </c>
    </row>
    <row r="547" spans="1:12" x14ac:dyDescent="0.35">
      <c r="A547" t="s">
        <v>556</v>
      </c>
      <c r="B547" s="5">
        <v>46053</v>
      </c>
      <c r="C547" t="s">
        <v>1215</v>
      </c>
      <c r="D547" t="s">
        <v>1236</v>
      </c>
      <c r="E547" t="s">
        <v>1594</v>
      </c>
      <c r="F547" t="s">
        <v>1900</v>
      </c>
      <c r="G547" t="s">
        <v>1908</v>
      </c>
      <c r="H547" t="s">
        <v>1917</v>
      </c>
      <c r="I547" s="4">
        <v>25</v>
      </c>
      <c r="J547" s="3">
        <v>59</v>
      </c>
      <c r="K547" s="3">
        <f>Table1[[#This Row],[Quantity Sold]]*Table1[[#This Row],[Unit Price (INR)]]</f>
        <v>1475</v>
      </c>
      <c r="L547" t="s">
        <v>1920</v>
      </c>
    </row>
    <row r="548" spans="1:12" x14ac:dyDescent="0.35">
      <c r="A548" t="s">
        <v>557</v>
      </c>
      <c r="B548" s="5">
        <v>46054</v>
      </c>
      <c r="C548" t="s">
        <v>1217</v>
      </c>
      <c r="D548" t="s">
        <v>1246</v>
      </c>
      <c r="E548" t="s">
        <v>1662</v>
      </c>
      <c r="F548" t="s">
        <v>1904</v>
      </c>
      <c r="G548" t="s">
        <v>1911</v>
      </c>
      <c r="H548" t="s">
        <v>1912</v>
      </c>
      <c r="I548" s="4">
        <v>108</v>
      </c>
      <c r="J548" s="3">
        <v>483</v>
      </c>
      <c r="K548" s="3">
        <f>Table1[[#This Row],[Quantity Sold]]*Table1[[#This Row],[Unit Price (INR)]]</f>
        <v>52164</v>
      </c>
      <c r="L548" t="s">
        <v>1922</v>
      </c>
    </row>
    <row r="549" spans="1:12" x14ac:dyDescent="0.35">
      <c r="A549" t="s">
        <v>558</v>
      </c>
      <c r="B549" s="5">
        <v>46055</v>
      </c>
      <c r="C549" t="s">
        <v>1211</v>
      </c>
      <c r="D549" t="s">
        <v>1221</v>
      </c>
      <c r="E549" t="s">
        <v>1663</v>
      </c>
      <c r="F549" t="s">
        <v>1902</v>
      </c>
      <c r="G549" t="s">
        <v>1911</v>
      </c>
      <c r="H549" t="s">
        <v>1918</v>
      </c>
      <c r="I549" s="4">
        <v>29</v>
      </c>
      <c r="J549" s="3">
        <v>174</v>
      </c>
      <c r="K549" s="3">
        <f>Table1[[#This Row],[Quantity Sold]]*Table1[[#This Row],[Unit Price (INR)]]</f>
        <v>5046</v>
      </c>
      <c r="L549" t="s">
        <v>1922</v>
      </c>
    </row>
    <row r="550" spans="1:12" x14ac:dyDescent="0.35">
      <c r="A550" t="s">
        <v>559</v>
      </c>
      <c r="B550" s="5">
        <v>46056</v>
      </c>
      <c r="C550" t="s">
        <v>1215</v>
      </c>
      <c r="D550" t="s">
        <v>1236</v>
      </c>
      <c r="E550" t="s">
        <v>1429</v>
      </c>
      <c r="F550" t="s">
        <v>1906</v>
      </c>
      <c r="G550" t="s">
        <v>1910</v>
      </c>
      <c r="H550" t="s">
        <v>1916</v>
      </c>
      <c r="I550" s="4">
        <v>55</v>
      </c>
      <c r="J550" s="3">
        <v>130</v>
      </c>
      <c r="K550" s="3">
        <f>Table1[[#This Row],[Quantity Sold]]*Table1[[#This Row],[Unit Price (INR)]]</f>
        <v>7150</v>
      </c>
      <c r="L550" t="s">
        <v>1923</v>
      </c>
    </row>
    <row r="551" spans="1:12" x14ac:dyDescent="0.35">
      <c r="A551" t="s">
        <v>560</v>
      </c>
      <c r="B551" s="5">
        <v>46057</v>
      </c>
      <c r="C551" t="s">
        <v>1216</v>
      </c>
      <c r="D551" t="s">
        <v>1232</v>
      </c>
      <c r="E551" t="s">
        <v>1336</v>
      </c>
      <c r="F551" t="s">
        <v>1901</v>
      </c>
      <c r="G551" t="s">
        <v>1911</v>
      </c>
      <c r="H551" t="s">
        <v>1913</v>
      </c>
      <c r="I551" s="4">
        <v>460</v>
      </c>
      <c r="J551" s="3">
        <v>189</v>
      </c>
      <c r="K551" s="3">
        <f>Table1[[#This Row],[Quantity Sold]]*Table1[[#This Row],[Unit Price (INR)]]</f>
        <v>86940</v>
      </c>
      <c r="L551" t="s">
        <v>1923</v>
      </c>
    </row>
    <row r="552" spans="1:12" x14ac:dyDescent="0.35">
      <c r="A552" t="s">
        <v>561</v>
      </c>
      <c r="B552" s="5">
        <v>46058</v>
      </c>
      <c r="C552" t="s">
        <v>1216</v>
      </c>
      <c r="D552" t="s">
        <v>1230</v>
      </c>
      <c r="E552" t="s">
        <v>1606</v>
      </c>
      <c r="F552" t="s">
        <v>1901</v>
      </c>
      <c r="G552" t="s">
        <v>1908</v>
      </c>
      <c r="H552" t="s">
        <v>1917</v>
      </c>
      <c r="I552" s="4">
        <v>202</v>
      </c>
      <c r="J552" s="3">
        <v>375</v>
      </c>
      <c r="K552" s="3">
        <f>Table1[[#This Row],[Quantity Sold]]*Table1[[#This Row],[Unit Price (INR)]]</f>
        <v>75750</v>
      </c>
      <c r="L552" t="s">
        <v>1923</v>
      </c>
    </row>
    <row r="553" spans="1:12" x14ac:dyDescent="0.35">
      <c r="A553" t="s">
        <v>562</v>
      </c>
      <c r="B553" s="5">
        <v>46059</v>
      </c>
      <c r="C553" t="s">
        <v>1217</v>
      </c>
      <c r="D553" t="s">
        <v>1237</v>
      </c>
      <c r="E553" t="s">
        <v>1636</v>
      </c>
      <c r="F553" t="s">
        <v>1897</v>
      </c>
      <c r="G553" t="s">
        <v>1911</v>
      </c>
      <c r="H553" t="s">
        <v>1916</v>
      </c>
      <c r="I553" s="4">
        <v>392</v>
      </c>
      <c r="J553" s="3">
        <v>199</v>
      </c>
      <c r="K553" s="3">
        <f>Table1[[#This Row],[Quantity Sold]]*Table1[[#This Row],[Unit Price (INR)]]</f>
        <v>78008</v>
      </c>
      <c r="L553" t="s">
        <v>1922</v>
      </c>
    </row>
    <row r="554" spans="1:12" x14ac:dyDescent="0.35">
      <c r="A554" t="s">
        <v>563</v>
      </c>
      <c r="B554" s="5">
        <v>46060</v>
      </c>
      <c r="C554" t="s">
        <v>1213</v>
      </c>
      <c r="D554" t="s">
        <v>1244</v>
      </c>
      <c r="E554" t="s">
        <v>1281</v>
      </c>
      <c r="F554" t="s">
        <v>1899</v>
      </c>
      <c r="G554" t="s">
        <v>1908</v>
      </c>
      <c r="H554" t="s">
        <v>1912</v>
      </c>
      <c r="I554" s="4">
        <v>67</v>
      </c>
      <c r="J554" s="3">
        <v>337</v>
      </c>
      <c r="K554" s="3">
        <f>Table1[[#This Row],[Quantity Sold]]*Table1[[#This Row],[Unit Price (INR)]]</f>
        <v>22579</v>
      </c>
      <c r="L554" t="s">
        <v>1921</v>
      </c>
    </row>
    <row r="555" spans="1:12" x14ac:dyDescent="0.35">
      <c r="A555" t="s">
        <v>564</v>
      </c>
      <c r="B555" s="5">
        <v>46061</v>
      </c>
      <c r="C555" t="s">
        <v>1213</v>
      </c>
      <c r="D555" t="s">
        <v>1234</v>
      </c>
      <c r="E555" t="s">
        <v>1664</v>
      </c>
      <c r="F555" t="s">
        <v>1898</v>
      </c>
      <c r="G555" t="s">
        <v>1909</v>
      </c>
      <c r="H555" t="s">
        <v>1918</v>
      </c>
      <c r="I555" s="4">
        <v>446</v>
      </c>
      <c r="J555" s="3">
        <v>410</v>
      </c>
      <c r="K555" s="3">
        <f>Table1[[#This Row],[Quantity Sold]]*Table1[[#This Row],[Unit Price (INR)]]</f>
        <v>182860</v>
      </c>
      <c r="L555" t="s">
        <v>1921</v>
      </c>
    </row>
    <row r="556" spans="1:12" x14ac:dyDescent="0.35">
      <c r="A556" t="s">
        <v>565</v>
      </c>
      <c r="B556" s="5">
        <v>46062</v>
      </c>
      <c r="C556" t="s">
        <v>1217</v>
      </c>
      <c r="D556" t="s">
        <v>1246</v>
      </c>
      <c r="E556" t="s">
        <v>1665</v>
      </c>
      <c r="F556" t="s">
        <v>1903</v>
      </c>
      <c r="G556" t="s">
        <v>1910</v>
      </c>
      <c r="H556" t="s">
        <v>1919</v>
      </c>
      <c r="I556" s="4">
        <v>120</v>
      </c>
      <c r="J556" s="3">
        <v>389</v>
      </c>
      <c r="K556" s="3">
        <f>Table1[[#This Row],[Quantity Sold]]*Table1[[#This Row],[Unit Price (INR)]]</f>
        <v>46680</v>
      </c>
      <c r="L556" t="s">
        <v>1922</v>
      </c>
    </row>
    <row r="557" spans="1:12" x14ac:dyDescent="0.35">
      <c r="A557" t="s">
        <v>566</v>
      </c>
      <c r="B557" s="5">
        <v>46063</v>
      </c>
      <c r="C557" t="s">
        <v>1213</v>
      </c>
      <c r="D557" t="s">
        <v>1234</v>
      </c>
      <c r="E557" t="s">
        <v>1666</v>
      </c>
      <c r="F557" t="s">
        <v>1897</v>
      </c>
      <c r="G557" t="s">
        <v>1911</v>
      </c>
      <c r="H557" t="s">
        <v>1914</v>
      </c>
      <c r="I557" s="4">
        <v>138</v>
      </c>
      <c r="J557" s="3">
        <v>178</v>
      </c>
      <c r="K557" s="3">
        <f>Table1[[#This Row],[Quantity Sold]]*Table1[[#This Row],[Unit Price (INR)]]</f>
        <v>24564</v>
      </c>
      <c r="L557" t="s">
        <v>1922</v>
      </c>
    </row>
    <row r="558" spans="1:12" x14ac:dyDescent="0.35">
      <c r="A558" t="s">
        <v>567</v>
      </c>
      <c r="B558" s="5">
        <v>46064</v>
      </c>
      <c r="C558" t="s">
        <v>1211</v>
      </c>
      <c r="D558" t="s">
        <v>1218</v>
      </c>
      <c r="E558" t="s">
        <v>1659</v>
      </c>
      <c r="F558" t="s">
        <v>1899</v>
      </c>
      <c r="G558" t="s">
        <v>1908</v>
      </c>
      <c r="H558" t="s">
        <v>1912</v>
      </c>
      <c r="I558" s="4">
        <v>346</v>
      </c>
      <c r="J558" s="3">
        <v>487</v>
      </c>
      <c r="K558" s="3">
        <f>Table1[[#This Row],[Quantity Sold]]*Table1[[#This Row],[Unit Price (INR)]]</f>
        <v>168502</v>
      </c>
      <c r="L558" t="s">
        <v>1920</v>
      </c>
    </row>
    <row r="559" spans="1:12" x14ac:dyDescent="0.35">
      <c r="A559" t="s">
        <v>568</v>
      </c>
      <c r="B559" s="5">
        <v>46065</v>
      </c>
      <c r="C559" t="s">
        <v>1211</v>
      </c>
      <c r="D559" t="s">
        <v>1221</v>
      </c>
      <c r="E559" t="s">
        <v>1534</v>
      </c>
      <c r="F559" t="s">
        <v>1900</v>
      </c>
      <c r="G559" t="s">
        <v>1907</v>
      </c>
      <c r="H559" t="s">
        <v>1916</v>
      </c>
      <c r="I559" s="4">
        <v>203</v>
      </c>
      <c r="J559" s="3">
        <v>288</v>
      </c>
      <c r="K559" s="3">
        <f>Table1[[#This Row],[Quantity Sold]]*Table1[[#This Row],[Unit Price (INR)]]</f>
        <v>58464</v>
      </c>
      <c r="L559" t="s">
        <v>1923</v>
      </c>
    </row>
    <row r="560" spans="1:12" x14ac:dyDescent="0.35">
      <c r="A560" t="s">
        <v>569</v>
      </c>
      <c r="B560" s="5">
        <v>46066</v>
      </c>
      <c r="C560" t="s">
        <v>1213</v>
      </c>
      <c r="D560" t="s">
        <v>1223</v>
      </c>
      <c r="E560" t="s">
        <v>1667</v>
      </c>
      <c r="F560" t="s">
        <v>1905</v>
      </c>
      <c r="G560" t="s">
        <v>1910</v>
      </c>
      <c r="H560" t="s">
        <v>1915</v>
      </c>
      <c r="I560" s="4">
        <v>422</v>
      </c>
      <c r="J560" s="3">
        <v>107</v>
      </c>
      <c r="K560" s="3">
        <f>Table1[[#This Row],[Quantity Sold]]*Table1[[#This Row],[Unit Price (INR)]]</f>
        <v>45154</v>
      </c>
      <c r="L560" t="s">
        <v>1923</v>
      </c>
    </row>
    <row r="561" spans="1:12" x14ac:dyDescent="0.35">
      <c r="A561" t="s">
        <v>570</v>
      </c>
      <c r="B561" s="5">
        <v>46067</v>
      </c>
      <c r="C561" t="s">
        <v>1216</v>
      </c>
      <c r="D561" t="s">
        <v>1241</v>
      </c>
      <c r="E561" t="s">
        <v>1608</v>
      </c>
      <c r="F561" t="s">
        <v>1905</v>
      </c>
      <c r="G561" t="s">
        <v>1909</v>
      </c>
      <c r="H561" t="s">
        <v>1918</v>
      </c>
      <c r="I561" s="4">
        <v>349</v>
      </c>
      <c r="J561" s="3">
        <v>247</v>
      </c>
      <c r="K561" s="3">
        <f>Table1[[#This Row],[Quantity Sold]]*Table1[[#This Row],[Unit Price (INR)]]</f>
        <v>86203</v>
      </c>
      <c r="L561" t="s">
        <v>1922</v>
      </c>
    </row>
    <row r="562" spans="1:12" x14ac:dyDescent="0.35">
      <c r="A562" t="s">
        <v>571</v>
      </c>
      <c r="B562" s="5">
        <v>46068</v>
      </c>
      <c r="C562" t="s">
        <v>1213</v>
      </c>
      <c r="D562" t="s">
        <v>1234</v>
      </c>
      <c r="E562" t="s">
        <v>1668</v>
      </c>
      <c r="F562" t="s">
        <v>1898</v>
      </c>
      <c r="G562" t="s">
        <v>1908</v>
      </c>
      <c r="H562" t="s">
        <v>1915</v>
      </c>
      <c r="I562" s="4">
        <v>335</v>
      </c>
      <c r="J562" s="3">
        <v>260</v>
      </c>
      <c r="K562" s="3">
        <f>Table1[[#This Row],[Quantity Sold]]*Table1[[#This Row],[Unit Price (INR)]]</f>
        <v>87100</v>
      </c>
      <c r="L562" t="s">
        <v>1922</v>
      </c>
    </row>
    <row r="563" spans="1:12" x14ac:dyDescent="0.35">
      <c r="A563" t="s">
        <v>572</v>
      </c>
      <c r="B563" s="5">
        <v>46069</v>
      </c>
      <c r="C563" t="s">
        <v>1211</v>
      </c>
      <c r="D563" t="s">
        <v>1218</v>
      </c>
      <c r="E563" t="s">
        <v>1539</v>
      </c>
      <c r="F563" t="s">
        <v>1904</v>
      </c>
      <c r="G563" t="s">
        <v>1909</v>
      </c>
      <c r="H563" t="s">
        <v>1915</v>
      </c>
      <c r="I563" s="4">
        <v>17</v>
      </c>
      <c r="J563" s="3">
        <v>451</v>
      </c>
      <c r="K563" s="3">
        <f>Table1[[#This Row],[Quantity Sold]]*Table1[[#This Row],[Unit Price (INR)]]</f>
        <v>7667</v>
      </c>
      <c r="L563" t="s">
        <v>1921</v>
      </c>
    </row>
    <row r="564" spans="1:12" x14ac:dyDescent="0.35">
      <c r="A564" t="s">
        <v>573</v>
      </c>
      <c r="B564" s="5">
        <v>46070</v>
      </c>
      <c r="C564" t="s">
        <v>1214</v>
      </c>
      <c r="D564" t="s">
        <v>1228</v>
      </c>
      <c r="E564" t="s">
        <v>1669</v>
      </c>
      <c r="F564" t="s">
        <v>1902</v>
      </c>
      <c r="G564" t="s">
        <v>1909</v>
      </c>
      <c r="H564" t="s">
        <v>1915</v>
      </c>
      <c r="I564" s="4">
        <v>38</v>
      </c>
      <c r="J564" s="3">
        <v>439</v>
      </c>
      <c r="K564" s="3">
        <f>Table1[[#This Row],[Quantity Sold]]*Table1[[#This Row],[Unit Price (INR)]]</f>
        <v>16682</v>
      </c>
      <c r="L564" t="s">
        <v>1922</v>
      </c>
    </row>
    <row r="565" spans="1:12" x14ac:dyDescent="0.35">
      <c r="A565" t="s">
        <v>574</v>
      </c>
      <c r="B565" s="5">
        <v>46071</v>
      </c>
      <c r="C565" t="s">
        <v>1212</v>
      </c>
      <c r="D565" t="s">
        <v>1233</v>
      </c>
      <c r="E565" t="s">
        <v>1396</v>
      </c>
      <c r="F565" t="s">
        <v>1897</v>
      </c>
      <c r="G565" t="s">
        <v>1911</v>
      </c>
      <c r="H565" t="s">
        <v>1915</v>
      </c>
      <c r="I565" s="4">
        <v>121</v>
      </c>
      <c r="J565" s="3">
        <v>94</v>
      </c>
      <c r="K565" s="3">
        <f>Table1[[#This Row],[Quantity Sold]]*Table1[[#This Row],[Unit Price (INR)]]</f>
        <v>11374</v>
      </c>
      <c r="L565" t="s">
        <v>1921</v>
      </c>
    </row>
    <row r="566" spans="1:12" x14ac:dyDescent="0.35">
      <c r="A566" t="s">
        <v>575</v>
      </c>
      <c r="B566" s="5">
        <v>46072</v>
      </c>
      <c r="C566" t="s">
        <v>1215</v>
      </c>
      <c r="D566" t="s">
        <v>1243</v>
      </c>
      <c r="E566" t="s">
        <v>1670</v>
      </c>
      <c r="F566" t="s">
        <v>1897</v>
      </c>
      <c r="G566" t="s">
        <v>1911</v>
      </c>
      <c r="H566" t="s">
        <v>1915</v>
      </c>
      <c r="I566" s="4">
        <v>444</v>
      </c>
      <c r="J566" s="3">
        <v>146</v>
      </c>
      <c r="K566" s="3">
        <f>Table1[[#This Row],[Quantity Sold]]*Table1[[#This Row],[Unit Price (INR)]]</f>
        <v>64824</v>
      </c>
      <c r="L566" t="s">
        <v>1922</v>
      </c>
    </row>
    <row r="567" spans="1:12" x14ac:dyDescent="0.35">
      <c r="A567" t="s">
        <v>576</v>
      </c>
      <c r="B567" s="5">
        <v>46073</v>
      </c>
      <c r="C567" t="s">
        <v>1214</v>
      </c>
      <c r="D567" t="s">
        <v>1228</v>
      </c>
      <c r="E567" t="s">
        <v>1671</v>
      </c>
      <c r="F567" t="s">
        <v>1903</v>
      </c>
      <c r="G567" t="s">
        <v>1908</v>
      </c>
      <c r="H567" t="s">
        <v>1917</v>
      </c>
      <c r="I567" s="4">
        <v>170</v>
      </c>
      <c r="J567" s="3">
        <v>328</v>
      </c>
      <c r="K567" s="3">
        <f>Table1[[#This Row],[Quantity Sold]]*Table1[[#This Row],[Unit Price (INR)]]</f>
        <v>55760</v>
      </c>
      <c r="L567" t="s">
        <v>1920</v>
      </c>
    </row>
    <row r="568" spans="1:12" x14ac:dyDescent="0.35">
      <c r="A568" t="s">
        <v>577</v>
      </c>
      <c r="B568" s="5">
        <v>46074</v>
      </c>
      <c r="C568" t="s">
        <v>1213</v>
      </c>
      <c r="D568" t="s">
        <v>1244</v>
      </c>
      <c r="E568" t="s">
        <v>1672</v>
      </c>
      <c r="F568" t="s">
        <v>1903</v>
      </c>
      <c r="G568" t="s">
        <v>1907</v>
      </c>
      <c r="H568" t="s">
        <v>1916</v>
      </c>
      <c r="I568" s="4">
        <v>140</v>
      </c>
      <c r="J568" s="3">
        <v>72</v>
      </c>
      <c r="K568" s="3">
        <f>Table1[[#This Row],[Quantity Sold]]*Table1[[#This Row],[Unit Price (INR)]]</f>
        <v>10080</v>
      </c>
      <c r="L568" t="s">
        <v>1920</v>
      </c>
    </row>
    <row r="569" spans="1:12" x14ac:dyDescent="0.35">
      <c r="A569" t="s">
        <v>578</v>
      </c>
      <c r="B569" s="5">
        <v>46075</v>
      </c>
      <c r="C569" t="s">
        <v>1216</v>
      </c>
      <c r="D569" t="s">
        <v>1230</v>
      </c>
      <c r="E569" t="s">
        <v>1673</v>
      </c>
      <c r="F569" t="s">
        <v>1905</v>
      </c>
      <c r="G569" t="s">
        <v>1908</v>
      </c>
      <c r="H569" t="s">
        <v>1912</v>
      </c>
      <c r="I569" s="4">
        <v>197</v>
      </c>
      <c r="J569" s="3">
        <v>459</v>
      </c>
      <c r="K569" s="3">
        <f>Table1[[#This Row],[Quantity Sold]]*Table1[[#This Row],[Unit Price (INR)]]</f>
        <v>90423</v>
      </c>
      <c r="L569" t="s">
        <v>1921</v>
      </c>
    </row>
    <row r="570" spans="1:12" x14ac:dyDescent="0.35">
      <c r="A570" t="s">
        <v>579</v>
      </c>
      <c r="B570" s="5">
        <v>46076</v>
      </c>
      <c r="C570" t="s">
        <v>1217</v>
      </c>
      <c r="D570" t="s">
        <v>1237</v>
      </c>
      <c r="E570" t="s">
        <v>1272</v>
      </c>
      <c r="F570" t="s">
        <v>1905</v>
      </c>
      <c r="G570" t="s">
        <v>1907</v>
      </c>
      <c r="H570" t="s">
        <v>1916</v>
      </c>
      <c r="I570" s="4">
        <v>172</v>
      </c>
      <c r="J570" s="3">
        <v>440</v>
      </c>
      <c r="K570" s="3">
        <f>Table1[[#This Row],[Quantity Sold]]*Table1[[#This Row],[Unit Price (INR)]]</f>
        <v>75680</v>
      </c>
      <c r="L570" t="s">
        <v>1923</v>
      </c>
    </row>
    <row r="571" spans="1:12" x14ac:dyDescent="0.35">
      <c r="A571" t="s">
        <v>580</v>
      </c>
      <c r="B571" s="5">
        <v>46077</v>
      </c>
      <c r="C571" t="s">
        <v>1213</v>
      </c>
      <c r="D571" t="s">
        <v>1234</v>
      </c>
      <c r="E571" t="s">
        <v>1254</v>
      </c>
      <c r="F571" t="s">
        <v>1906</v>
      </c>
      <c r="G571" t="s">
        <v>1909</v>
      </c>
      <c r="H571" t="s">
        <v>1912</v>
      </c>
      <c r="I571" s="4">
        <v>206</v>
      </c>
      <c r="J571" s="3">
        <v>384</v>
      </c>
      <c r="K571" s="3">
        <f>Table1[[#This Row],[Quantity Sold]]*Table1[[#This Row],[Unit Price (INR)]]</f>
        <v>79104</v>
      </c>
      <c r="L571" t="s">
        <v>1920</v>
      </c>
    </row>
    <row r="572" spans="1:12" x14ac:dyDescent="0.35">
      <c r="A572" t="s">
        <v>581</v>
      </c>
      <c r="B572" s="5">
        <v>46078</v>
      </c>
      <c r="C572" t="s">
        <v>1216</v>
      </c>
      <c r="D572" t="s">
        <v>1232</v>
      </c>
      <c r="E572" t="s">
        <v>1674</v>
      </c>
      <c r="F572" t="s">
        <v>1906</v>
      </c>
      <c r="G572" t="s">
        <v>1910</v>
      </c>
      <c r="H572" t="s">
        <v>1914</v>
      </c>
      <c r="I572" s="4">
        <v>484</v>
      </c>
      <c r="J572" s="3">
        <v>93</v>
      </c>
      <c r="K572" s="3">
        <f>Table1[[#This Row],[Quantity Sold]]*Table1[[#This Row],[Unit Price (INR)]]</f>
        <v>45012</v>
      </c>
      <c r="L572" t="s">
        <v>1921</v>
      </c>
    </row>
    <row r="573" spans="1:12" x14ac:dyDescent="0.35">
      <c r="A573" t="s">
        <v>582</v>
      </c>
      <c r="B573" s="5">
        <v>46079</v>
      </c>
      <c r="C573" t="s">
        <v>1212</v>
      </c>
      <c r="D573" t="s">
        <v>1233</v>
      </c>
      <c r="E573" t="s">
        <v>1675</v>
      </c>
      <c r="F573" t="s">
        <v>1904</v>
      </c>
      <c r="G573" t="s">
        <v>1908</v>
      </c>
      <c r="H573" t="s">
        <v>1918</v>
      </c>
      <c r="I573" s="4">
        <v>373</v>
      </c>
      <c r="J573" s="3">
        <v>76</v>
      </c>
      <c r="K573" s="3">
        <f>Table1[[#This Row],[Quantity Sold]]*Table1[[#This Row],[Unit Price (INR)]]</f>
        <v>28348</v>
      </c>
      <c r="L573" t="s">
        <v>1922</v>
      </c>
    </row>
    <row r="574" spans="1:12" x14ac:dyDescent="0.35">
      <c r="A574" t="s">
        <v>583</v>
      </c>
      <c r="B574" s="5">
        <v>46080</v>
      </c>
      <c r="C574" t="s">
        <v>1213</v>
      </c>
      <c r="D574" t="s">
        <v>1223</v>
      </c>
      <c r="E574" t="s">
        <v>1540</v>
      </c>
      <c r="F574" t="s">
        <v>1906</v>
      </c>
      <c r="G574" t="s">
        <v>1908</v>
      </c>
      <c r="H574" t="s">
        <v>1919</v>
      </c>
      <c r="I574" s="4">
        <v>213</v>
      </c>
      <c r="J574" s="3">
        <v>331</v>
      </c>
      <c r="K574" s="3">
        <f>Table1[[#This Row],[Quantity Sold]]*Table1[[#This Row],[Unit Price (INR)]]</f>
        <v>70503</v>
      </c>
      <c r="L574" t="s">
        <v>1922</v>
      </c>
    </row>
    <row r="575" spans="1:12" x14ac:dyDescent="0.35">
      <c r="A575" t="s">
        <v>584</v>
      </c>
      <c r="B575" s="5">
        <v>46081</v>
      </c>
      <c r="C575" t="s">
        <v>1211</v>
      </c>
      <c r="D575" t="s">
        <v>1224</v>
      </c>
      <c r="E575" t="s">
        <v>1527</v>
      </c>
      <c r="F575" t="s">
        <v>1902</v>
      </c>
      <c r="G575" t="s">
        <v>1907</v>
      </c>
      <c r="H575" t="s">
        <v>1917</v>
      </c>
      <c r="I575" s="4">
        <v>221</v>
      </c>
      <c r="J575" s="3">
        <v>146</v>
      </c>
      <c r="K575" s="3">
        <f>Table1[[#This Row],[Quantity Sold]]*Table1[[#This Row],[Unit Price (INR)]]</f>
        <v>32266</v>
      </c>
      <c r="L575" t="s">
        <v>1921</v>
      </c>
    </row>
    <row r="576" spans="1:12" x14ac:dyDescent="0.35">
      <c r="A576" t="s">
        <v>585</v>
      </c>
      <c r="B576" s="5">
        <v>46082</v>
      </c>
      <c r="C576" t="s">
        <v>1217</v>
      </c>
      <c r="D576" t="s">
        <v>1238</v>
      </c>
      <c r="E576" t="s">
        <v>1580</v>
      </c>
      <c r="F576" t="s">
        <v>1902</v>
      </c>
      <c r="G576" t="s">
        <v>1909</v>
      </c>
      <c r="H576" t="s">
        <v>1918</v>
      </c>
      <c r="I576" s="4">
        <v>118</v>
      </c>
      <c r="J576" s="3">
        <v>85</v>
      </c>
      <c r="K576" s="3">
        <f>Table1[[#This Row],[Quantity Sold]]*Table1[[#This Row],[Unit Price (INR)]]</f>
        <v>10030</v>
      </c>
      <c r="L576" t="s">
        <v>1923</v>
      </c>
    </row>
    <row r="577" spans="1:12" x14ac:dyDescent="0.35">
      <c r="A577" t="s">
        <v>586</v>
      </c>
      <c r="B577" s="5">
        <v>46083</v>
      </c>
      <c r="C577" t="s">
        <v>1216</v>
      </c>
      <c r="D577" t="s">
        <v>1232</v>
      </c>
      <c r="E577" t="s">
        <v>1676</v>
      </c>
      <c r="F577" t="s">
        <v>1897</v>
      </c>
      <c r="G577" t="s">
        <v>1909</v>
      </c>
      <c r="H577" t="s">
        <v>1917</v>
      </c>
      <c r="I577" s="4">
        <v>285</v>
      </c>
      <c r="J577" s="3">
        <v>158</v>
      </c>
      <c r="K577" s="3">
        <f>Table1[[#This Row],[Quantity Sold]]*Table1[[#This Row],[Unit Price (INR)]]</f>
        <v>45030</v>
      </c>
      <c r="L577" t="s">
        <v>1921</v>
      </c>
    </row>
    <row r="578" spans="1:12" x14ac:dyDescent="0.35">
      <c r="A578" t="s">
        <v>587</v>
      </c>
      <c r="B578" s="5">
        <v>46084</v>
      </c>
      <c r="C578" t="s">
        <v>1216</v>
      </c>
      <c r="D578" t="s">
        <v>1232</v>
      </c>
      <c r="E578" t="s">
        <v>1266</v>
      </c>
      <c r="F578" t="s">
        <v>1901</v>
      </c>
      <c r="G578" t="s">
        <v>1907</v>
      </c>
      <c r="H578" t="s">
        <v>1912</v>
      </c>
      <c r="I578" s="4">
        <v>82</v>
      </c>
      <c r="J578" s="3">
        <v>104</v>
      </c>
      <c r="K578" s="3">
        <f>Table1[[#This Row],[Quantity Sold]]*Table1[[#This Row],[Unit Price (INR)]]</f>
        <v>8528</v>
      </c>
      <c r="L578" t="s">
        <v>1921</v>
      </c>
    </row>
    <row r="579" spans="1:12" x14ac:dyDescent="0.35">
      <c r="A579" t="s">
        <v>588</v>
      </c>
      <c r="B579" s="5">
        <v>46085</v>
      </c>
      <c r="C579" t="s">
        <v>1216</v>
      </c>
      <c r="D579" t="s">
        <v>1241</v>
      </c>
      <c r="E579" t="s">
        <v>1677</v>
      </c>
      <c r="F579" t="s">
        <v>1902</v>
      </c>
      <c r="G579" t="s">
        <v>1909</v>
      </c>
      <c r="H579" t="s">
        <v>1916</v>
      </c>
      <c r="I579" s="4">
        <v>176</v>
      </c>
      <c r="J579" s="3">
        <v>241</v>
      </c>
      <c r="K579" s="3">
        <f>Table1[[#This Row],[Quantity Sold]]*Table1[[#This Row],[Unit Price (INR)]]</f>
        <v>42416</v>
      </c>
      <c r="L579" t="s">
        <v>1920</v>
      </c>
    </row>
    <row r="580" spans="1:12" x14ac:dyDescent="0.35">
      <c r="A580" t="s">
        <v>589</v>
      </c>
      <c r="B580" s="5">
        <v>46086</v>
      </c>
      <c r="C580" t="s">
        <v>1212</v>
      </c>
      <c r="D580" t="s">
        <v>1219</v>
      </c>
      <c r="E580" t="s">
        <v>1640</v>
      </c>
      <c r="F580" t="s">
        <v>1899</v>
      </c>
      <c r="G580" t="s">
        <v>1911</v>
      </c>
      <c r="H580" t="s">
        <v>1915</v>
      </c>
      <c r="I580" s="4">
        <v>269</v>
      </c>
      <c r="J580" s="3">
        <v>268</v>
      </c>
      <c r="K580" s="3">
        <f>Table1[[#This Row],[Quantity Sold]]*Table1[[#This Row],[Unit Price (INR)]]</f>
        <v>72092</v>
      </c>
      <c r="L580" t="s">
        <v>1921</v>
      </c>
    </row>
    <row r="581" spans="1:12" x14ac:dyDescent="0.35">
      <c r="A581" t="s">
        <v>590</v>
      </c>
      <c r="B581" s="5">
        <v>46087</v>
      </c>
      <c r="C581" t="s">
        <v>1213</v>
      </c>
      <c r="D581" t="s">
        <v>1223</v>
      </c>
      <c r="E581" t="s">
        <v>1268</v>
      </c>
      <c r="F581" t="s">
        <v>1905</v>
      </c>
      <c r="G581" t="s">
        <v>1910</v>
      </c>
      <c r="H581" t="s">
        <v>1914</v>
      </c>
      <c r="I581" s="4">
        <v>252</v>
      </c>
      <c r="J581" s="3">
        <v>234</v>
      </c>
      <c r="K581" s="3">
        <f>Table1[[#This Row],[Quantity Sold]]*Table1[[#This Row],[Unit Price (INR)]]</f>
        <v>58968</v>
      </c>
      <c r="L581" t="s">
        <v>1921</v>
      </c>
    </row>
    <row r="582" spans="1:12" x14ac:dyDescent="0.35">
      <c r="A582" t="s">
        <v>591</v>
      </c>
      <c r="B582" s="5">
        <v>46088</v>
      </c>
      <c r="C582" t="s">
        <v>1212</v>
      </c>
      <c r="D582" t="s">
        <v>1219</v>
      </c>
      <c r="E582" t="s">
        <v>1678</v>
      </c>
      <c r="F582" t="s">
        <v>1903</v>
      </c>
      <c r="G582" t="s">
        <v>1908</v>
      </c>
      <c r="H582" t="s">
        <v>1914</v>
      </c>
      <c r="I582" s="4">
        <v>284</v>
      </c>
      <c r="J582" s="3">
        <v>118</v>
      </c>
      <c r="K582" s="3">
        <f>Table1[[#This Row],[Quantity Sold]]*Table1[[#This Row],[Unit Price (INR)]]</f>
        <v>33512</v>
      </c>
      <c r="L582" t="s">
        <v>1922</v>
      </c>
    </row>
    <row r="583" spans="1:12" x14ac:dyDescent="0.35">
      <c r="A583" t="s">
        <v>592</v>
      </c>
      <c r="B583" s="5">
        <v>46089</v>
      </c>
      <c r="C583" t="s">
        <v>1215</v>
      </c>
      <c r="D583" t="s">
        <v>1243</v>
      </c>
      <c r="E583" t="s">
        <v>1418</v>
      </c>
      <c r="F583" t="s">
        <v>1906</v>
      </c>
      <c r="G583" t="s">
        <v>1910</v>
      </c>
      <c r="H583" t="s">
        <v>1913</v>
      </c>
      <c r="I583" s="4">
        <v>111</v>
      </c>
      <c r="J583" s="3">
        <v>366</v>
      </c>
      <c r="K583" s="3">
        <f>Table1[[#This Row],[Quantity Sold]]*Table1[[#This Row],[Unit Price (INR)]]</f>
        <v>40626</v>
      </c>
      <c r="L583" t="s">
        <v>1920</v>
      </c>
    </row>
    <row r="584" spans="1:12" x14ac:dyDescent="0.35">
      <c r="A584" t="s">
        <v>593</v>
      </c>
      <c r="B584" s="5">
        <v>46090</v>
      </c>
      <c r="C584" t="s">
        <v>1215</v>
      </c>
      <c r="D584" t="s">
        <v>1242</v>
      </c>
      <c r="E584" t="s">
        <v>1679</v>
      </c>
      <c r="F584" t="s">
        <v>1897</v>
      </c>
      <c r="G584" t="s">
        <v>1908</v>
      </c>
      <c r="H584" t="s">
        <v>1919</v>
      </c>
      <c r="I584" s="4">
        <v>484</v>
      </c>
      <c r="J584" s="3">
        <v>179</v>
      </c>
      <c r="K584" s="3">
        <f>Table1[[#This Row],[Quantity Sold]]*Table1[[#This Row],[Unit Price (INR)]]</f>
        <v>86636</v>
      </c>
      <c r="L584" t="s">
        <v>1922</v>
      </c>
    </row>
    <row r="585" spans="1:12" x14ac:dyDescent="0.35">
      <c r="A585" t="s">
        <v>594</v>
      </c>
      <c r="B585" s="5">
        <v>46091</v>
      </c>
      <c r="C585" t="s">
        <v>1213</v>
      </c>
      <c r="D585" t="s">
        <v>1244</v>
      </c>
      <c r="E585" t="s">
        <v>1455</v>
      </c>
      <c r="F585" t="s">
        <v>1898</v>
      </c>
      <c r="G585" t="s">
        <v>1911</v>
      </c>
      <c r="H585" t="s">
        <v>1914</v>
      </c>
      <c r="I585" s="4">
        <v>182</v>
      </c>
      <c r="J585" s="3">
        <v>104</v>
      </c>
      <c r="K585" s="3">
        <f>Table1[[#This Row],[Quantity Sold]]*Table1[[#This Row],[Unit Price (INR)]]</f>
        <v>18928</v>
      </c>
      <c r="L585" t="s">
        <v>1922</v>
      </c>
    </row>
    <row r="586" spans="1:12" x14ac:dyDescent="0.35">
      <c r="A586" t="s">
        <v>595</v>
      </c>
      <c r="B586" s="5">
        <v>46092</v>
      </c>
      <c r="C586" t="s">
        <v>1211</v>
      </c>
      <c r="D586" t="s">
        <v>1221</v>
      </c>
      <c r="E586" t="s">
        <v>1396</v>
      </c>
      <c r="F586" t="s">
        <v>1903</v>
      </c>
      <c r="G586" t="s">
        <v>1909</v>
      </c>
      <c r="H586" t="s">
        <v>1915</v>
      </c>
      <c r="I586" s="4">
        <v>180</v>
      </c>
      <c r="J586" s="3">
        <v>427</v>
      </c>
      <c r="K586" s="3">
        <f>Table1[[#This Row],[Quantity Sold]]*Table1[[#This Row],[Unit Price (INR)]]</f>
        <v>76860</v>
      </c>
      <c r="L586" t="s">
        <v>1923</v>
      </c>
    </row>
    <row r="587" spans="1:12" x14ac:dyDescent="0.35">
      <c r="A587" t="s">
        <v>596</v>
      </c>
      <c r="B587" s="5">
        <v>46093</v>
      </c>
      <c r="C587" t="s">
        <v>1212</v>
      </c>
      <c r="D587" t="s">
        <v>1229</v>
      </c>
      <c r="E587" t="s">
        <v>1506</v>
      </c>
      <c r="F587" t="s">
        <v>1899</v>
      </c>
      <c r="G587" t="s">
        <v>1907</v>
      </c>
      <c r="H587" t="s">
        <v>1916</v>
      </c>
      <c r="I587" s="4">
        <v>150</v>
      </c>
      <c r="J587" s="3">
        <v>146</v>
      </c>
      <c r="K587" s="3">
        <f>Table1[[#This Row],[Quantity Sold]]*Table1[[#This Row],[Unit Price (INR)]]</f>
        <v>21900</v>
      </c>
      <c r="L587" t="s">
        <v>1923</v>
      </c>
    </row>
    <row r="588" spans="1:12" x14ac:dyDescent="0.35">
      <c r="A588" t="s">
        <v>597</v>
      </c>
      <c r="B588" s="5">
        <v>46094</v>
      </c>
      <c r="C588" t="s">
        <v>1217</v>
      </c>
      <c r="D588" t="s">
        <v>1235</v>
      </c>
      <c r="E588" t="s">
        <v>1589</v>
      </c>
      <c r="F588" t="s">
        <v>1906</v>
      </c>
      <c r="G588" t="s">
        <v>1911</v>
      </c>
      <c r="H588" t="s">
        <v>1919</v>
      </c>
      <c r="I588" s="4">
        <v>406</v>
      </c>
      <c r="J588" s="3">
        <v>385</v>
      </c>
      <c r="K588" s="3">
        <f>Table1[[#This Row],[Quantity Sold]]*Table1[[#This Row],[Unit Price (INR)]]</f>
        <v>156310</v>
      </c>
      <c r="L588" t="s">
        <v>1920</v>
      </c>
    </row>
    <row r="589" spans="1:12" x14ac:dyDescent="0.35">
      <c r="A589" t="s">
        <v>598</v>
      </c>
      <c r="B589" s="5">
        <v>46095</v>
      </c>
      <c r="C589" t="s">
        <v>1216</v>
      </c>
      <c r="D589" t="s">
        <v>1239</v>
      </c>
      <c r="E589" t="s">
        <v>1680</v>
      </c>
      <c r="F589" t="s">
        <v>1899</v>
      </c>
      <c r="G589" t="s">
        <v>1910</v>
      </c>
      <c r="H589" t="s">
        <v>1912</v>
      </c>
      <c r="I589" s="4">
        <v>197</v>
      </c>
      <c r="J589" s="3">
        <v>136</v>
      </c>
      <c r="K589" s="3">
        <f>Table1[[#This Row],[Quantity Sold]]*Table1[[#This Row],[Unit Price (INR)]]</f>
        <v>26792</v>
      </c>
      <c r="L589" t="s">
        <v>1920</v>
      </c>
    </row>
    <row r="590" spans="1:12" x14ac:dyDescent="0.35">
      <c r="A590" t="s">
        <v>599</v>
      </c>
      <c r="B590" s="5">
        <v>46096</v>
      </c>
      <c r="C590" t="s">
        <v>1216</v>
      </c>
      <c r="D590" t="s">
        <v>1232</v>
      </c>
      <c r="E590" t="s">
        <v>1681</v>
      </c>
      <c r="F590" t="s">
        <v>1905</v>
      </c>
      <c r="G590" t="s">
        <v>1907</v>
      </c>
      <c r="H590" t="s">
        <v>1918</v>
      </c>
      <c r="I590" s="4">
        <v>450</v>
      </c>
      <c r="J590" s="3">
        <v>343</v>
      </c>
      <c r="K590" s="3">
        <f>Table1[[#This Row],[Quantity Sold]]*Table1[[#This Row],[Unit Price (INR)]]</f>
        <v>154350</v>
      </c>
      <c r="L590" t="s">
        <v>1923</v>
      </c>
    </row>
    <row r="591" spans="1:12" x14ac:dyDescent="0.35">
      <c r="A591" t="s">
        <v>600</v>
      </c>
      <c r="B591" s="5">
        <v>46097</v>
      </c>
      <c r="C591" t="s">
        <v>1213</v>
      </c>
      <c r="D591" t="s">
        <v>1244</v>
      </c>
      <c r="E591" t="s">
        <v>1682</v>
      </c>
      <c r="F591" t="s">
        <v>1905</v>
      </c>
      <c r="G591" t="s">
        <v>1909</v>
      </c>
      <c r="H591" t="s">
        <v>1912</v>
      </c>
      <c r="I591" s="4">
        <v>95</v>
      </c>
      <c r="J591" s="3">
        <v>168</v>
      </c>
      <c r="K591" s="3">
        <f>Table1[[#This Row],[Quantity Sold]]*Table1[[#This Row],[Unit Price (INR)]]</f>
        <v>15960</v>
      </c>
      <c r="L591" t="s">
        <v>1923</v>
      </c>
    </row>
    <row r="592" spans="1:12" x14ac:dyDescent="0.35">
      <c r="A592" t="s">
        <v>601</v>
      </c>
      <c r="B592" s="5">
        <v>46098</v>
      </c>
      <c r="C592" t="s">
        <v>1211</v>
      </c>
      <c r="D592" t="s">
        <v>1218</v>
      </c>
      <c r="E592" t="s">
        <v>1683</v>
      </c>
      <c r="F592" t="s">
        <v>1904</v>
      </c>
      <c r="G592" t="s">
        <v>1911</v>
      </c>
      <c r="H592" t="s">
        <v>1915</v>
      </c>
      <c r="I592" s="4">
        <v>485</v>
      </c>
      <c r="J592" s="3">
        <v>257</v>
      </c>
      <c r="K592" s="3">
        <f>Table1[[#This Row],[Quantity Sold]]*Table1[[#This Row],[Unit Price (INR)]]</f>
        <v>124645</v>
      </c>
      <c r="L592" t="s">
        <v>1923</v>
      </c>
    </row>
    <row r="593" spans="1:12" x14ac:dyDescent="0.35">
      <c r="A593" t="s">
        <v>602</v>
      </c>
      <c r="B593" s="5">
        <v>46099</v>
      </c>
      <c r="C593" t="s">
        <v>1215</v>
      </c>
      <c r="D593" t="s">
        <v>1225</v>
      </c>
      <c r="E593" t="s">
        <v>1429</v>
      </c>
      <c r="F593" t="s">
        <v>1897</v>
      </c>
      <c r="G593" t="s">
        <v>1907</v>
      </c>
      <c r="H593" t="s">
        <v>1915</v>
      </c>
      <c r="I593" s="4">
        <v>61</v>
      </c>
      <c r="J593" s="3">
        <v>383</v>
      </c>
      <c r="K593" s="3">
        <f>Table1[[#This Row],[Quantity Sold]]*Table1[[#This Row],[Unit Price (INR)]]</f>
        <v>23363</v>
      </c>
      <c r="L593" t="s">
        <v>1923</v>
      </c>
    </row>
    <row r="594" spans="1:12" x14ac:dyDescent="0.35">
      <c r="A594" t="s">
        <v>603</v>
      </c>
      <c r="B594" s="5">
        <v>46100</v>
      </c>
      <c r="C594" t="s">
        <v>1215</v>
      </c>
      <c r="D594" t="s">
        <v>1243</v>
      </c>
      <c r="E594" t="s">
        <v>1295</v>
      </c>
      <c r="F594" t="s">
        <v>1903</v>
      </c>
      <c r="G594" t="s">
        <v>1911</v>
      </c>
      <c r="H594" t="s">
        <v>1914</v>
      </c>
      <c r="I594" s="4">
        <v>120</v>
      </c>
      <c r="J594" s="3">
        <v>462</v>
      </c>
      <c r="K594" s="3">
        <f>Table1[[#This Row],[Quantity Sold]]*Table1[[#This Row],[Unit Price (INR)]]</f>
        <v>55440</v>
      </c>
      <c r="L594" t="s">
        <v>1923</v>
      </c>
    </row>
    <row r="595" spans="1:12" x14ac:dyDescent="0.35">
      <c r="A595" t="s">
        <v>604</v>
      </c>
      <c r="B595" s="5">
        <v>46101</v>
      </c>
      <c r="C595" t="s">
        <v>1216</v>
      </c>
      <c r="D595" t="s">
        <v>1230</v>
      </c>
      <c r="E595" t="s">
        <v>1348</v>
      </c>
      <c r="F595" t="s">
        <v>1900</v>
      </c>
      <c r="G595" t="s">
        <v>1911</v>
      </c>
      <c r="H595" t="s">
        <v>1919</v>
      </c>
      <c r="I595" s="4">
        <v>446</v>
      </c>
      <c r="J595" s="3">
        <v>203</v>
      </c>
      <c r="K595" s="3">
        <f>Table1[[#This Row],[Quantity Sold]]*Table1[[#This Row],[Unit Price (INR)]]</f>
        <v>90538</v>
      </c>
      <c r="L595" t="s">
        <v>1922</v>
      </c>
    </row>
    <row r="596" spans="1:12" x14ac:dyDescent="0.35">
      <c r="A596" t="s">
        <v>605</v>
      </c>
      <c r="B596" s="5">
        <v>46102</v>
      </c>
      <c r="C596" t="s">
        <v>1213</v>
      </c>
      <c r="D596" t="s">
        <v>1220</v>
      </c>
      <c r="E596" t="s">
        <v>1371</v>
      </c>
      <c r="F596" t="s">
        <v>1900</v>
      </c>
      <c r="G596" t="s">
        <v>1909</v>
      </c>
      <c r="H596" t="s">
        <v>1916</v>
      </c>
      <c r="I596" s="4">
        <v>374</v>
      </c>
      <c r="J596" s="3">
        <v>84</v>
      </c>
      <c r="K596" s="3">
        <f>Table1[[#This Row],[Quantity Sold]]*Table1[[#This Row],[Unit Price (INR)]]</f>
        <v>31416</v>
      </c>
      <c r="L596" t="s">
        <v>1920</v>
      </c>
    </row>
    <row r="597" spans="1:12" x14ac:dyDescent="0.35">
      <c r="A597" t="s">
        <v>606</v>
      </c>
      <c r="B597" s="5">
        <v>46103</v>
      </c>
      <c r="C597" t="s">
        <v>1212</v>
      </c>
      <c r="D597" t="s">
        <v>1229</v>
      </c>
      <c r="E597" t="s">
        <v>1684</v>
      </c>
      <c r="F597" t="s">
        <v>1903</v>
      </c>
      <c r="G597" t="s">
        <v>1908</v>
      </c>
      <c r="H597" t="s">
        <v>1912</v>
      </c>
      <c r="I597" s="4">
        <v>351</v>
      </c>
      <c r="J597" s="3">
        <v>128</v>
      </c>
      <c r="K597" s="3">
        <f>Table1[[#This Row],[Quantity Sold]]*Table1[[#This Row],[Unit Price (INR)]]</f>
        <v>44928</v>
      </c>
      <c r="L597" t="s">
        <v>1922</v>
      </c>
    </row>
    <row r="598" spans="1:12" x14ac:dyDescent="0.35">
      <c r="A598" t="s">
        <v>607</v>
      </c>
      <c r="B598" s="5">
        <v>46104</v>
      </c>
      <c r="C598" t="s">
        <v>1215</v>
      </c>
      <c r="D598" t="s">
        <v>1243</v>
      </c>
      <c r="E598" t="s">
        <v>1685</v>
      </c>
      <c r="F598" t="s">
        <v>1898</v>
      </c>
      <c r="G598" t="s">
        <v>1907</v>
      </c>
      <c r="H598" t="s">
        <v>1913</v>
      </c>
      <c r="I598" s="4">
        <v>52</v>
      </c>
      <c r="J598" s="3">
        <v>116</v>
      </c>
      <c r="K598" s="3">
        <f>Table1[[#This Row],[Quantity Sold]]*Table1[[#This Row],[Unit Price (INR)]]</f>
        <v>6032</v>
      </c>
      <c r="L598" t="s">
        <v>1922</v>
      </c>
    </row>
    <row r="599" spans="1:12" x14ac:dyDescent="0.35">
      <c r="A599" t="s">
        <v>608</v>
      </c>
      <c r="B599" s="5">
        <v>46105</v>
      </c>
      <c r="C599" t="s">
        <v>1212</v>
      </c>
      <c r="D599" t="s">
        <v>1233</v>
      </c>
      <c r="E599" t="s">
        <v>1534</v>
      </c>
      <c r="F599" t="s">
        <v>1897</v>
      </c>
      <c r="G599" t="s">
        <v>1909</v>
      </c>
      <c r="H599" t="s">
        <v>1912</v>
      </c>
      <c r="I599" s="4">
        <v>220</v>
      </c>
      <c r="J599" s="3">
        <v>392</v>
      </c>
      <c r="K599" s="3">
        <f>Table1[[#This Row],[Quantity Sold]]*Table1[[#This Row],[Unit Price (INR)]]</f>
        <v>86240</v>
      </c>
      <c r="L599" t="s">
        <v>1921</v>
      </c>
    </row>
    <row r="600" spans="1:12" x14ac:dyDescent="0.35">
      <c r="A600" t="s">
        <v>609</v>
      </c>
      <c r="B600" s="5">
        <v>46106</v>
      </c>
      <c r="C600" t="s">
        <v>1211</v>
      </c>
      <c r="D600" t="s">
        <v>1218</v>
      </c>
      <c r="E600" t="s">
        <v>1580</v>
      </c>
      <c r="F600" t="s">
        <v>1899</v>
      </c>
      <c r="G600" t="s">
        <v>1911</v>
      </c>
      <c r="H600" t="s">
        <v>1917</v>
      </c>
      <c r="I600" s="4">
        <v>465</v>
      </c>
      <c r="J600" s="3">
        <v>462</v>
      </c>
      <c r="K600" s="3">
        <f>Table1[[#This Row],[Quantity Sold]]*Table1[[#This Row],[Unit Price (INR)]]</f>
        <v>214830</v>
      </c>
      <c r="L600" t="s">
        <v>1922</v>
      </c>
    </row>
    <row r="601" spans="1:12" x14ac:dyDescent="0.35">
      <c r="A601" t="s">
        <v>610</v>
      </c>
      <c r="B601" s="5">
        <v>46107</v>
      </c>
      <c r="C601" t="s">
        <v>1215</v>
      </c>
      <c r="D601" t="s">
        <v>1243</v>
      </c>
      <c r="E601" t="s">
        <v>1254</v>
      </c>
      <c r="F601" t="s">
        <v>1898</v>
      </c>
      <c r="G601" t="s">
        <v>1909</v>
      </c>
      <c r="H601" t="s">
        <v>1917</v>
      </c>
      <c r="I601" s="4">
        <v>209</v>
      </c>
      <c r="J601" s="3">
        <v>83</v>
      </c>
      <c r="K601" s="3">
        <f>Table1[[#This Row],[Quantity Sold]]*Table1[[#This Row],[Unit Price (INR)]]</f>
        <v>17347</v>
      </c>
      <c r="L601" t="s">
        <v>1923</v>
      </c>
    </row>
    <row r="602" spans="1:12" x14ac:dyDescent="0.35">
      <c r="A602" t="s">
        <v>611</v>
      </c>
      <c r="B602" s="5">
        <v>46108</v>
      </c>
      <c r="C602" t="s">
        <v>1215</v>
      </c>
      <c r="D602" t="s">
        <v>1231</v>
      </c>
      <c r="E602" t="s">
        <v>1686</v>
      </c>
      <c r="F602" t="s">
        <v>1901</v>
      </c>
      <c r="G602" t="s">
        <v>1908</v>
      </c>
      <c r="H602" t="s">
        <v>1916</v>
      </c>
      <c r="I602" s="4">
        <v>307</v>
      </c>
      <c r="J602" s="3">
        <v>146</v>
      </c>
      <c r="K602" s="3">
        <f>Table1[[#This Row],[Quantity Sold]]*Table1[[#This Row],[Unit Price (INR)]]</f>
        <v>44822</v>
      </c>
      <c r="L602" t="s">
        <v>1923</v>
      </c>
    </row>
    <row r="603" spans="1:12" x14ac:dyDescent="0.35">
      <c r="A603" t="s">
        <v>612</v>
      </c>
      <c r="B603" s="5">
        <v>46109</v>
      </c>
      <c r="C603" t="s">
        <v>1214</v>
      </c>
      <c r="D603" t="s">
        <v>1222</v>
      </c>
      <c r="E603" t="s">
        <v>1687</v>
      </c>
      <c r="F603" t="s">
        <v>1903</v>
      </c>
      <c r="G603" t="s">
        <v>1907</v>
      </c>
      <c r="H603" t="s">
        <v>1916</v>
      </c>
      <c r="I603" s="4">
        <v>355</v>
      </c>
      <c r="J603" s="3">
        <v>218</v>
      </c>
      <c r="K603" s="3">
        <f>Table1[[#This Row],[Quantity Sold]]*Table1[[#This Row],[Unit Price (INR)]]</f>
        <v>77390</v>
      </c>
      <c r="L603" t="s">
        <v>1921</v>
      </c>
    </row>
    <row r="604" spans="1:12" x14ac:dyDescent="0.35">
      <c r="A604" t="s">
        <v>613</v>
      </c>
      <c r="B604" s="5">
        <v>46110</v>
      </c>
      <c r="C604" t="s">
        <v>1215</v>
      </c>
      <c r="D604" t="s">
        <v>1225</v>
      </c>
      <c r="E604" t="s">
        <v>1688</v>
      </c>
      <c r="F604" t="s">
        <v>1899</v>
      </c>
      <c r="G604" t="s">
        <v>1908</v>
      </c>
      <c r="H604" t="s">
        <v>1917</v>
      </c>
      <c r="I604" s="4">
        <v>249</v>
      </c>
      <c r="J604" s="3">
        <v>218</v>
      </c>
      <c r="K604" s="3">
        <f>Table1[[#This Row],[Quantity Sold]]*Table1[[#This Row],[Unit Price (INR)]]</f>
        <v>54282</v>
      </c>
      <c r="L604" t="s">
        <v>1921</v>
      </c>
    </row>
    <row r="605" spans="1:12" x14ac:dyDescent="0.35">
      <c r="A605" t="s">
        <v>614</v>
      </c>
      <c r="B605" s="5">
        <v>46111</v>
      </c>
      <c r="C605" t="s">
        <v>1217</v>
      </c>
      <c r="D605" t="s">
        <v>1237</v>
      </c>
      <c r="E605" t="s">
        <v>1610</v>
      </c>
      <c r="F605" t="s">
        <v>1900</v>
      </c>
      <c r="G605" t="s">
        <v>1910</v>
      </c>
      <c r="H605" t="s">
        <v>1913</v>
      </c>
      <c r="I605" s="4">
        <v>124</v>
      </c>
      <c r="J605" s="3">
        <v>200</v>
      </c>
      <c r="K605" s="3">
        <f>Table1[[#This Row],[Quantity Sold]]*Table1[[#This Row],[Unit Price (INR)]]</f>
        <v>24800</v>
      </c>
      <c r="L605" t="s">
        <v>1921</v>
      </c>
    </row>
    <row r="606" spans="1:12" x14ac:dyDescent="0.35">
      <c r="A606" t="s">
        <v>615</v>
      </c>
      <c r="B606" s="5">
        <v>46112</v>
      </c>
      <c r="C606" t="s">
        <v>1213</v>
      </c>
      <c r="D606" t="s">
        <v>1234</v>
      </c>
      <c r="E606" t="s">
        <v>1689</v>
      </c>
      <c r="F606" t="s">
        <v>1902</v>
      </c>
      <c r="G606" t="s">
        <v>1907</v>
      </c>
      <c r="H606" t="s">
        <v>1919</v>
      </c>
      <c r="I606" s="4">
        <v>35</v>
      </c>
      <c r="J606" s="3">
        <v>120</v>
      </c>
      <c r="K606" s="3">
        <f>Table1[[#This Row],[Quantity Sold]]*Table1[[#This Row],[Unit Price (INR)]]</f>
        <v>4200</v>
      </c>
      <c r="L606" t="s">
        <v>1921</v>
      </c>
    </row>
    <row r="607" spans="1:12" x14ac:dyDescent="0.35">
      <c r="A607" t="s">
        <v>616</v>
      </c>
      <c r="B607" s="5">
        <v>46113</v>
      </c>
      <c r="C607" t="s">
        <v>1213</v>
      </c>
      <c r="D607" t="s">
        <v>1234</v>
      </c>
      <c r="E607" t="s">
        <v>1602</v>
      </c>
      <c r="F607" t="s">
        <v>1904</v>
      </c>
      <c r="G607" t="s">
        <v>1908</v>
      </c>
      <c r="H607" t="s">
        <v>1917</v>
      </c>
      <c r="I607" s="4">
        <v>416</v>
      </c>
      <c r="J607" s="3">
        <v>52</v>
      </c>
      <c r="K607" s="3">
        <f>Table1[[#This Row],[Quantity Sold]]*Table1[[#This Row],[Unit Price (INR)]]</f>
        <v>21632</v>
      </c>
      <c r="L607" t="s">
        <v>1921</v>
      </c>
    </row>
    <row r="608" spans="1:12" x14ac:dyDescent="0.35">
      <c r="A608" t="s">
        <v>617</v>
      </c>
      <c r="B608" s="5">
        <v>46114</v>
      </c>
      <c r="C608" t="s">
        <v>1212</v>
      </c>
      <c r="D608" t="s">
        <v>1229</v>
      </c>
      <c r="E608" t="s">
        <v>1367</v>
      </c>
      <c r="F608" t="s">
        <v>1900</v>
      </c>
      <c r="G608" t="s">
        <v>1911</v>
      </c>
      <c r="H608" t="s">
        <v>1916</v>
      </c>
      <c r="I608" s="4">
        <v>308</v>
      </c>
      <c r="J608" s="3">
        <v>363</v>
      </c>
      <c r="K608" s="3">
        <f>Table1[[#This Row],[Quantity Sold]]*Table1[[#This Row],[Unit Price (INR)]]</f>
        <v>111804</v>
      </c>
      <c r="L608" t="s">
        <v>1922</v>
      </c>
    </row>
    <row r="609" spans="1:12" x14ac:dyDescent="0.35">
      <c r="A609" t="s">
        <v>618</v>
      </c>
      <c r="B609" s="5">
        <v>46115</v>
      </c>
      <c r="C609" t="s">
        <v>1211</v>
      </c>
      <c r="D609" t="s">
        <v>1218</v>
      </c>
      <c r="E609" t="s">
        <v>1352</v>
      </c>
      <c r="F609" t="s">
        <v>1897</v>
      </c>
      <c r="G609" t="s">
        <v>1907</v>
      </c>
      <c r="H609" t="s">
        <v>1914</v>
      </c>
      <c r="I609" s="4">
        <v>86</v>
      </c>
      <c r="J609" s="3">
        <v>81</v>
      </c>
      <c r="K609" s="3">
        <f>Table1[[#This Row],[Quantity Sold]]*Table1[[#This Row],[Unit Price (INR)]]</f>
        <v>6966</v>
      </c>
      <c r="L609" t="s">
        <v>1921</v>
      </c>
    </row>
    <row r="610" spans="1:12" x14ac:dyDescent="0.35">
      <c r="A610" t="s">
        <v>619</v>
      </c>
      <c r="B610" s="5">
        <v>46116</v>
      </c>
      <c r="C610" t="s">
        <v>1215</v>
      </c>
      <c r="D610" t="s">
        <v>1242</v>
      </c>
      <c r="E610" t="s">
        <v>1352</v>
      </c>
      <c r="F610" t="s">
        <v>1905</v>
      </c>
      <c r="G610" t="s">
        <v>1907</v>
      </c>
      <c r="H610" t="s">
        <v>1918</v>
      </c>
      <c r="I610" s="4">
        <v>421</v>
      </c>
      <c r="J610" s="3">
        <v>336</v>
      </c>
      <c r="K610" s="3">
        <f>Table1[[#This Row],[Quantity Sold]]*Table1[[#This Row],[Unit Price (INR)]]</f>
        <v>141456</v>
      </c>
      <c r="L610" t="s">
        <v>1922</v>
      </c>
    </row>
    <row r="611" spans="1:12" x14ac:dyDescent="0.35">
      <c r="A611" t="s">
        <v>620</v>
      </c>
      <c r="B611" s="5">
        <v>46117</v>
      </c>
      <c r="C611" t="s">
        <v>1217</v>
      </c>
      <c r="D611" t="s">
        <v>1245</v>
      </c>
      <c r="E611" t="s">
        <v>1690</v>
      </c>
      <c r="F611" t="s">
        <v>1902</v>
      </c>
      <c r="G611" t="s">
        <v>1909</v>
      </c>
      <c r="H611" t="s">
        <v>1913</v>
      </c>
      <c r="I611" s="4">
        <v>146</v>
      </c>
      <c r="J611" s="3">
        <v>131</v>
      </c>
      <c r="K611" s="3">
        <f>Table1[[#This Row],[Quantity Sold]]*Table1[[#This Row],[Unit Price (INR)]]</f>
        <v>19126</v>
      </c>
      <c r="L611" t="s">
        <v>1920</v>
      </c>
    </row>
    <row r="612" spans="1:12" x14ac:dyDescent="0.35">
      <c r="A612" t="s">
        <v>621</v>
      </c>
      <c r="B612" s="5">
        <v>46118</v>
      </c>
      <c r="C612" t="s">
        <v>1212</v>
      </c>
      <c r="D612" t="s">
        <v>1233</v>
      </c>
      <c r="E612" t="s">
        <v>1485</v>
      </c>
      <c r="F612" t="s">
        <v>1904</v>
      </c>
      <c r="G612" t="s">
        <v>1911</v>
      </c>
      <c r="H612" t="s">
        <v>1915</v>
      </c>
      <c r="I612" s="4">
        <v>29</v>
      </c>
      <c r="J612" s="3">
        <v>92</v>
      </c>
      <c r="K612" s="3">
        <f>Table1[[#This Row],[Quantity Sold]]*Table1[[#This Row],[Unit Price (INR)]]</f>
        <v>2668</v>
      </c>
      <c r="L612" t="s">
        <v>1921</v>
      </c>
    </row>
    <row r="613" spans="1:12" x14ac:dyDescent="0.35">
      <c r="A613" t="s">
        <v>622</v>
      </c>
      <c r="B613" s="5">
        <v>46119</v>
      </c>
      <c r="C613" t="s">
        <v>1214</v>
      </c>
      <c r="D613" t="s">
        <v>1222</v>
      </c>
      <c r="E613" t="s">
        <v>1312</v>
      </c>
      <c r="F613" t="s">
        <v>1904</v>
      </c>
      <c r="G613" t="s">
        <v>1910</v>
      </c>
      <c r="H613" t="s">
        <v>1913</v>
      </c>
      <c r="I613" s="4">
        <v>449</v>
      </c>
      <c r="J613" s="3">
        <v>440</v>
      </c>
      <c r="K613" s="3">
        <f>Table1[[#This Row],[Quantity Sold]]*Table1[[#This Row],[Unit Price (INR)]]</f>
        <v>197560</v>
      </c>
      <c r="L613" t="s">
        <v>1921</v>
      </c>
    </row>
    <row r="614" spans="1:12" x14ac:dyDescent="0.35">
      <c r="A614" t="s">
        <v>623</v>
      </c>
      <c r="B614" s="5">
        <v>46120</v>
      </c>
      <c r="C614" t="s">
        <v>1212</v>
      </c>
      <c r="D614" t="s">
        <v>1240</v>
      </c>
      <c r="E614" t="s">
        <v>1691</v>
      </c>
      <c r="F614" t="s">
        <v>1901</v>
      </c>
      <c r="G614" t="s">
        <v>1908</v>
      </c>
      <c r="H614" t="s">
        <v>1914</v>
      </c>
      <c r="I614" s="4">
        <v>220</v>
      </c>
      <c r="J614" s="3">
        <v>154</v>
      </c>
      <c r="K614" s="3">
        <f>Table1[[#This Row],[Quantity Sold]]*Table1[[#This Row],[Unit Price (INR)]]</f>
        <v>33880</v>
      </c>
      <c r="L614" t="s">
        <v>1922</v>
      </c>
    </row>
    <row r="615" spans="1:12" x14ac:dyDescent="0.35">
      <c r="A615" t="s">
        <v>624</v>
      </c>
      <c r="B615" s="5">
        <v>46121</v>
      </c>
      <c r="C615" t="s">
        <v>1212</v>
      </c>
      <c r="D615" t="s">
        <v>1240</v>
      </c>
      <c r="E615" t="s">
        <v>1692</v>
      </c>
      <c r="F615" t="s">
        <v>1901</v>
      </c>
      <c r="G615" t="s">
        <v>1909</v>
      </c>
      <c r="H615" t="s">
        <v>1914</v>
      </c>
      <c r="I615" s="4">
        <v>249</v>
      </c>
      <c r="J615" s="3">
        <v>50</v>
      </c>
      <c r="K615" s="3">
        <f>Table1[[#This Row],[Quantity Sold]]*Table1[[#This Row],[Unit Price (INR)]]</f>
        <v>12450</v>
      </c>
      <c r="L615" t="s">
        <v>1920</v>
      </c>
    </row>
    <row r="616" spans="1:12" x14ac:dyDescent="0.35">
      <c r="A616" t="s">
        <v>625</v>
      </c>
      <c r="B616" s="5">
        <v>46122</v>
      </c>
      <c r="C616" t="s">
        <v>1215</v>
      </c>
      <c r="D616" t="s">
        <v>1242</v>
      </c>
      <c r="E616" t="s">
        <v>1693</v>
      </c>
      <c r="F616" t="s">
        <v>1906</v>
      </c>
      <c r="G616" t="s">
        <v>1908</v>
      </c>
      <c r="H616" t="s">
        <v>1915</v>
      </c>
      <c r="I616" s="4">
        <v>48</v>
      </c>
      <c r="J616" s="3">
        <v>110</v>
      </c>
      <c r="K616" s="3">
        <f>Table1[[#This Row],[Quantity Sold]]*Table1[[#This Row],[Unit Price (INR)]]</f>
        <v>5280</v>
      </c>
      <c r="L616" t="s">
        <v>1922</v>
      </c>
    </row>
    <row r="617" spans="1:12" x14ac:dyDescent="0.35">
      <c r="A617" t="s">
        <v>626</v>
      </c>
      <c r="B617" s="5">
        <v>46123</v>
      </c>
      <c r="C617" t="s">
        <v>1214</v>
      </c>
      <c r="D617" t="s">
        <v>1228</v>
      </c>
      <c r="E617" t="s">
        <v>1694</v>
      </c>
      <c r="F617" t="s">
        <v>1900</v>
      </c>
      <c r="G617" t="s">
        <v>1910</v>
      </c>
      <c r="H617" t="s">
        <v>1912</v>
      </c>
      <c r="I617" s="4">
        <v>444</v>
      </c>
      <c r="J617" s="3">
        <v>319</v>
      </c>
      <c r="K617" s="3">
        <f>Table1[[#This Row],[Quantity Sold]]*Table1[[#This Row],[Unit Price (INR)]]</f>
        <v>141636</v>
      </c>
      <c r="L617" t="s">
        <v>1922</v>
      </c>
    </row>
    <row r="618" spans="1:12" x14ac:dyDescent="0.35">
      <c r="A618" t="s">
        <v>627</v>
      </c>
      <c r="B618" s="5">
        <v>46124</v>
      </c>
      <c r="C618" t="s">
        <v>1212</v>
      </c>
      <c r="D618" t="s">
        <v>1219</v>
      </c>
      <c r="E618" t="s">
        <v>1673</v>
      </c>
      <c r="F618" t="s">
        <v>1900</v>
      </c>
      <c r="G618" t="s">
        <v>1910</v>
      </c>
      <c r="H618" t="s">
        <v>1916</v>
      </c>
      <c r="I618" s="4">
        <v>277</v>
      </c>
      <c r="J618" s="3">
        <v>229</v>
      </c>
      <c r="K618" s="3">
        <f>Table1[[#This Row],[Quantity Sold]]*Table1[[#This Row],[Unit Price (INR)]]</f>
        <v>63433</v>
      </c>
      <c r="L618" t="s">
        <v>1921</v>
      </c>
    </row>
    <row r="619" spans="1:12" x14ac:dyDescent="0.35">
      <c r="A619" t="s">
        <v>628</v>
      </c>
      <c r="B619" s="5">
        <v>46125</v>
      </c>
      <c r="C619" t="s">
        <v>1217</v>
      </c>
      <c r="D619" t="s">
        <v>1238</v>
      </c>
      <c r="E619" t="s">
        <v>1495</v>
      </c>
      <c r="F619" t="s">
        <v>1900</v>
      </c>
      <c r="G619" t="s">
        <v>1907</v>
      </c>
      <c r="H619" t="s">
        <v>1917</v>
      </c>
      <c r="I619" s="4">
        <v>216</v>
      </c>
      <c r="J619" s="3">
        <v>273</v>
      </c>
      <c r="K619" s="3">
        <f>Table1[[#This Row],[Quantity Sold]]*Table1[[#This Row],[Unit Price (INR)]]</f>
        <v>58968</v>
      </c>
      <c r="L619" t="s">
        <v>1923</v>
      </c>
    </row>
    <row r="620" spans="1:12" x14ac:dyDescent="0.35">
      <c r="A620" t="s">
        <v>629</v>
      </c>
      <c r="B620" s="5">
        <v>46126</v>
      </c>
      <c r="C620" t="s">
        <v>1217</v>
      </c>
      <c r="D620" t="s">
        <v>1245</v>
      </c>
      <c r="E620" t="s">
        <v>1695</v>
      </c>
      <c r="F620" t="s">
        <v>1906</v>
      </c>
      <c r="G620" t="s">
        <v>1910</v>
      </c>
      <c r="H620" t="s">
        <v>1912</v>
      </c>
      <c r="I620" s="4">
        <v>488</v>
      </c>
      <c r="J620" s="3">
        <v>55</v>
      </c>
      <c r="K620" s="3">
        <f>Table1[[#This Row],[Quantity Sold]]*Table1[[#This Row],[Unit Price (INR)]]</f>
        <v>26840</v>
      </c>
      <c r="L620" t="s">
        <v>1923</v>
      </c>
    </row>
    <row r="621" spans="1:12" x14ac:dyDescent="0.35">
      <c r="A621" t="s">
        <v>630</v>
      </c>
      <c r="B621" s="5">
        <v>46127</v>
      </c>
      <c r="C621" t="s">
        <v>1213</v>
      </c>
      <c r="D621" t="s">
        <v>1223</v>
      </c>
      <c r="E621" t="s">
        <v>1696</v>
      </c>
      <c r="F621" t="s">
        <v>1898</v>
      </c>
      <c r="G621" t="s">
        <v>1908</v>
      </c>
      <c r="H621" t="s">
        <v>1919</v>
      </c>
      <c r="I621" s="4">
        <v>448</v>
      </c>
      <c r="J621" s="3">
        <v>152</v>
      </c>
      <c r="K621" s="3">
        <f>Table1[[#This Row],[Quantity Sold]]*Table1[[#This Row],[Unit Price (INR)]]</f>
        <v>68096</v>
      </c>
      <c r="L621" t="s">
        <v>1922</v>
      </c>
    </row>
    <row r="622" spans="1:12" x14ac:dyDescent="0.35">
      <c r="A622" t="s">
        <v>631</v>
      </c>
      <c r="B622" s="5">
        <v>46128</v>
      </c>
      <c r="C622" t="s">
        <v>1214</v>
      </c>
      <c r="D622" t="s">
        <v>1226</v>
      </c>
      <c r="E622" t="s">
        <v>1681</v>
      </c>
      <c r="F622" t="s">
        <v>1904</v>
      </c>
      <c r="G622" t="s">
        <v>1911</v>
      </c>
      <c r="H622" t="s">
        <v>1913</v>
      </c>
      <c r="I622" s="4">
        <v>471</v>
      </c>
      <c r="J622" s="3">
        <v>59</v>
      </c>
      <c r="K622" s="3">
        <f>Table1[[#This Row],[Quantity Sold]]*Table1[[#This Row],[Unit Price (INR)]]</f>
        <v>27789</v>
      </c>
      <c r="L622" t="s">
        <v>1921</v>
      </c>
    </row>
    <row r="623" spans="1:12" x14ac:dyDescent="0.35">
      <c r="A623" t="s">
        <v>632</v>
      </c>
      <c r="B623" s="5">
        <v>46129</v>
      </c>
      <c r="C623" t="s">
        <v>1214</v>
      </c>
      <c r="D623" t="s">
        <v>1226</v>
      </c>
      <c r="E623" t="s">
        <v>1411</v>
      </c>
      <c r="F623" t="s">
        <v>1902</v>
      </c>
      <c r="G623" t="s">
        <v>1911</v>
      </c>
      <c r="H623" t="s">
        <v>1915</v>
      </c>
      <c r="I623" s="4">
        <v>276</v>
      </c>
      <c r="J623" s="3">
        <v>120</v>
      </c>
      <c r="K623" s="3">
        <f>Table1[[#This Row],[Quantity Sold]]*Table1[[#This Row],[Unit Price (INR)]]</f>
        <v>33120</v>
      </c>
      <c r="L623" t="s">
        <v>1920</v>
      </c>
    </row>
    <row r="624" spans="1:12" x14ac:dyDescent="0.35">
      <c r="A624" t="s">
        <v>633</v>
      </c>
      <c r="B624" s="5">
        <v>46130</v>
      </c>
      <c r="C624" t="s">
        <v>1213</v>
      </c>
      <c r="D624" t="s">
        <v>1223</v>
      </c>
      <c r="E624" t="s">
        <v>1697</v>
      </c>
      <c r="F624" t="s">
        <v>1897</v>
      </c>
      <c r="G624" t="s">
        <v>1907</v>
      </c>
      <c r="H624" t="s">
        <v>1913</v>
      </c>
      <c r="I624" s="4">
        <v>163</v>
      </c>
      <c r="J624" s="3">
        <v>139</v>
      </c>
      <c r="K624" s="3">
        <f>Table1[[#This Row],[Quantity Sold]]*Table1[[#This Row],[Unit Price (INR)]]</f>
        <v>22657</v>
      </c>
      <c r="L624" t="s">
        <v>1923</v>
      </c>
    </row>
    <row r="625" spans="1:12" x14ac:dyDescent="0.35">
      <c r="A625" t="s">
        <v>634</v>
      </c>
      <c r="B625" s="5">
        <v>46131</v>
      </c>
      <c r="C625" t="s">
        <v>1212</v>
      </c>
      <c r="D625" t="s">
        <v>1233</v>
      </c>
      <c r="E625" t="s">
        <v>1698</v>
      </c>
      <c r="F625" t="s">
        <v>1904</v>
      </c>
      <c r="G625" t="s">
        <v>1908</v>
      </c>
      <c r="H625" t="s">
        <v>1912</v>
      </c>
      <c r="I625" s="4">
        <v>51</v>
      </c>
      <c r="J625" s="3">
        <v>275</v>
      </c>
      <c r="K625" s="3">
        <f>Table1[[#This Row],[Quantity Sold]]*Table1[[#This Row],[Unit Price (INR)]]</f>
        <v>14025</v>
      </c>
      <c r="L625" t="s">
        <v>1920</v>
      </c>
    </row>
    <row r="626" spans="1:12" x14ac:dyDescent="0.35">
      <c r="A626" t="s">
        <v>635</v>
      </c>
      <c r="B626" s="5">
        <v>46132</v>
      </c>
      <c r="C626" t="s">
        <v>1214</v>
      </c>
      <c r="D626" t="s">
        <v>1227</v>
      </c>
      <c r="E626" t="s">
        <v>1356</v>
      </c>
      <c r="F626" t="s">
        <v>1901</v>
      </c>
      <c r="G626" t="s">
        <v>1908</v>
      </c>
      <c r="H626" t="s">
        <v>1914</v>
      </c>
      <c r="I626" s="4">
        <v>420</v>
      </c>
      <c r="J626" s="3">
        <v>207</v>
      </c>
      <c r="K626" s="3">
        <f>Table1[[#This Row],[Quantity Sold]]*Table1[[#This Row],[Unit Price (INR)]]</f>
        <v>86940</v>
      </c>
      <c r="L626" t="s">
        <v>1923</v>
      </c>
    </row>
    <row r="627" spans="1:12" x14ac:dyDescent="0.35">
      <c r="A627" t="s">
        <v>636</v>
      </c>
      <c r="B627" s="5">
        <v>46133</v>
      </c>
      <c r="C627" t="s">
        <v>1217</v>
      </c>
      <c r="D627" t="s">
        <v>1246</v>
      </c>
      <c r="E627" t="s">
        <v>1297</v>
      </c>
      <c r="F627" t="s">
        <v>1899</v>
      </c>
      <c r="G627" t="s">
        <v>1910</v>
      </c>
      <c r="H627" t="s">
        <v>1917</v>
      </c>
      <c r="I627" s="4">
        <v>20</v>
      </c>
      <c r="J627" s="3">
        <v>277</v>
      </c>
      <c r="K627" s="3">
        <f>Table1[[#This Row],[Quantity Sold]]*Table1[[#This Row],[Unit Price (INR)]]</f>
        <v>5540</v>
      </c>
      <c r="L627" t="s">
        <v>1921</v>
      </c>
    </row>
    <row r="628" spans="1:12" x14ac:dyDescent="0.35">
      <c r="A628" t="s">
        <v>637</v>
      </c>
      <c r="B628" s="5">
        <v>46134</v>
      </c>
      <c r="C628" t="s">
        <v>1217</v>
      </c>
      <c r="D628" t="s">
        <v>1238</v>
      </c>
      <c r="E628" t="s">
        <v>1699</v>
      </c>
      <c r="F628" t="s">
        <v>1905</v>
      </c>
      <c r="G628" t="s">
        <v>1908</v>
      </c>
      <c r="H628" t="s">
        <v>1913</v>
      </c>
      <c r="I628" s="4">
        <v>303</v>
      </c>
      <c r="J628" s="3">
        <v>454</v>
      </c>
      <c r="K628" s="3">
        <f>Table1[[#This Row],[Quantity Sold]]*Table1[[#This Row],[Unit Price (INR)]]</f>
        <v>137562</v>
      </c>
      <c r="L628" t="s">
        <v>1922</v>
      </c>
    </row>
    <row r="629" spans="1:12" x14ac:dyDescent="0.35">
      <c r="A629" t="s">
        <v>638</v>
      </c>
      <c r="B629" s="5">
        <v>46135</v>
      </c>
      <c r="C629" t="s">
        <v>1215</v>
      </c>
      <c r="D629" t="s">
        <v>1243</v>
      </c>
      <c r="E629" t="s">
        <v>1328</v>
      </c>
      <c r="F629" t="s">
        <v>1906</v>
      </c>
      <c r="G629" t="s">
        <v>1909</v>
      </c>
      <c r="H629" t="s">
        <v>1919</v>
      </c>
      <c r="I629" s="4">
        <v>107</v>
      </c>
      <c r="J629" s="3">
        <v>175</v>
      </c>
      <c r="K629" s="3">
        <f>Table1[[#This Row],[Quantity Sold]]*Table1[[#This Row],[Unit Price (INR)]]</f>
        <v>18725</v>
      </c>
      <c r="L629" t="s">
        <v>1920</v>
      </c>
    </row>
    <row r="630" spans="1:12" x14ac:dyDescent="0.35">
      <c r="A630" t="s">
        <v>639</v>
      </c>
      <c r="B630" s="5">
        <v>46136</v>
      </c>
      <c r="C630" t="s">
        <v>1214</v>
      </c>
      <c r="D630" t="s">
        <v>1222</v>
      </c>
      <c r="E630" t="s">
        <v>1643</v>
      </c>
      <c r="F630" t="s">
        <v>1903</v>
      </c>
      <c r="G630" t="s">
        <v>1910</v>
      </c>
      <c r="H630" t="s">
        <v>1914</v>
      </c>
      <c r="I630" s="4">
        <v>436</v>
      </c>
      <c r="J630" s="3">
        <v>493</v>
      </c>
      <c r="K630" s="3">
        <f>Table1[[#This Row],[Quantity Sold]]*Table1[[#This Row],[Unit Price (INR)]]</f>
        <v>214948</v>
      </c>
      <c r="L630" t="s">
        <v>1920</v>
      </c>
    </row>
    <row r="631" spans="1:12" x14ac:dyDescent="0.35">
      <c r="A631" t="s">
        <v>640</v>
      </c>
      <c r="B631" s="5">
        <v>46137</v>
      </c>
      <c r="C631" t="s">
        <v>1212</v>
      </c>
      <c r="D631" t="s">
        <v>1229</v>
      </c>
      <c r="E631" t="s">
        <v>1700</v>
      </c>
      <c r="F631" t="s">
        <v>1899</v>
      </c>
      <c r="G631" t="s">
        <v>1909</v>
      </c>
      <c r="H631" t="s">
        <v>1919</v>
      </c>
      <c r="I631" s="4">
        <v>284</v>
      </c>
      <c r="J631" s="3">
        <v>258</v>
      </c>
      <c r="K631" s="3">
        <f>Table1[[#This Row],[Quantity Sold]]*Table1[[#This Row],[Unit Price (INR)]]</f>
        <v>73272</v>
      </c>
      <c r="L631" t="s">
        <v>1922</v>
      </c>
    </row>
    <row r="632" spans="1:12" x14ac:dyDescent="0.35">
      <c r="A632" t="s">
        <v>641</v>
      </c>
      <c r="B632" s="5">
        <v>46138</v>
      </c>
      <c r="C632" t="s">
        <v>1213</v>
      </c>
      <c r="D632" t="s">
        <v>1220</v>
      </c>
      <c r="E632" t="s">
        <v>1701</v>
      </c>
      <c r="F632" t="s">
        <v>1897</v>
      </c>
      <c r="G632" t="s">
        <v>1907</v>
      </c>
      <c r="H632" t="s">
        <v>1917</v>
      </c>
      <c r="I632" s="4">
        <v>457</v>
      </c>
      <c r="J632" s="3">
        <v>146</v>
      </c>
      <c r="K632" s="3">
        <f>Table1[[#This Row],[Quantity Sold]]*Table1[[#This Row],[Unit Price (INR)]]</f>
        <v>66722</v>
      </c>
      <c r="L632" t="s">
        <v>1920</v>
      </c>
    </row>
    <row r="633" spans="1:12" x14ac:dyDescent="0.35">
      <c r="A633" t="s">
        <v>642</v>
      </c>
      <c r="B633" s="5">
        <v>46139</v>
      </c>
      <c r="C633" t="s">
        <v>1213</v>
      </c>
      <c r="D633" t="s">
        <v>1234</v>
      </c>
      <c r="E633" t="s">
        <v>1554</v>
      </c>
      <c r="F633" t="s">
        <v>1900</v>
      </c>
      <c r="G633" t="s">
        <v>1911</v>
      </c>
      <c r="H633" t="s">
        <v>1913</v>
      </c>
      <c r="I633" s="4">
        <v>399</v>
      </c>
      <c r="J633" s="3">
        <v>123</v>
      </c>
      <c r="K633" s="3">
        <f>Table1[[#This Row],[Quantity Sold]]*Table1[[#This Row],[Unit Price (INR)]]</f>
        <v>49077</v>
      </c>
      <c r="L633" t="s">
        <v>1923</v>
      </c>
    </row>
    <row r="634" spans="1:12" x14ac:dyDescent="0.35">
      <c r="A634" t="s">
        <v>643</v>
      </c>
      <c r="B634" s="5">
        <v>46140</v>
      </c>
      <c r="C634" t="s">
        <v>1212</v>
      </c>
      <c r="D634" t="s">
        <v>1219</v>
      </c>
      <c r="E634" t="s">
        <v>1268</v>
      </c>
      <c r="F634" t="s">
        <v>1901</v>
      </c>
      <c r="G634" t="s">
        <v>1907</v>
      </c>
      <c r="H634" t="s">
        <v>1918</v>
      </c>
      <c r="I634" s="4">
        <v>439</v>
      </c>
      <c r="J634" s="3">
        <v>164</v>
      </c>
      <c r="K634" s="3">
        <f>Table1[[#This Row],[Quantity Sold]]*Table1[[#This Row],[Unit Price (INR)]]</f>
        <v>71996</v>
      </c>
      <c r="L634" t="s">
        <v>1922</v>
      </c>
    </row>
    <row r="635" spans="1:12" x14ac:dyDescent="0.35">
      <c r="A635" t="s">
        <v>644</v>
      </c>
      <c r="B635" s="5">
        <v>46141</v>
      </c>
      <c r="C635" t="s">
        <v>1211</v>
      </c>
      <c r="D635" t="s">
        <v>1221</v>
      </c>
      <c r="E635" t="s">
        <v>1434</v>
      </c>
      <c r="F635" t="s">
        <v>1901</v>
      </c>
      <c r="G635" t="s">
        <v>1911</v>
      </c>
      <c r="H635" t="s">
        <v>1912</v>
      </c>
      <c r="I635" s="4">
        <v>381</v>
      </c>
      <c r="J635" s="3">
        <v>240</v>
      </c>
      <c r="K635" s="3">
        <f>Table1[[#This Row],[Quantity Sold]]*Table1[[#This Row],[Unit Price (INR)]]</f>
        <v>91440</v>
      </c>
      <c r="L635" t="s">
        <v>1923</v>
      </c>
    </row>
    <row r="636" spans="1:12" x14ac:dyDescent="0.35">
      <c r="A636" t="s">
        <v>645</v>
      </c>
      <c r="B636" s="5">
        <v>46142</v>
      </c>
      <c r="C636" t="s">
        <v>1216</v>
      </c>
      <c r="D636" t="s">
        <v>1239</v>
      </c>
      <c r="E636" t="s">
        <v>1702</v>
      </c>
      <c r="F636" t="s">
        <v>1901</v>
      </c>
      <c r="G636" t="s">
        <v>1907</v>
      </c>
      <c r="H636" t="s">
        <v>1913</v>
      </c>
      <c r="I636" s="4">
        <v>239</v>
      </c>
      <c r="J636" s="3">
        <v>219</v>
      </c>
      <c r="K636" s="3">
        <f>Table1[[#This Row],[Quantity Sold]]*Table1[[#This Row],[Unit Price (INR)]]</f>
        <v>52341</v>
      </c>
      <c r="L636" t="s">
        <v>1923</v>
      </c>
    </row>
    <row r="637" spans="1:12" x14ac:dyDescent="0.35">
      <c r="A637" t="s">
        <v>646</v>
      </c>
      <c r="B637" s="5">
        <v>46143</v>
      </c>
      <c r="C637" t="s">
        <v>1215</v>
      </c>
      <c r="D637" t="s">
        <v>1243</v>
      </c>
      <c r="E637" t="s">
        <v>1703</v>
      </c>
      <c r="F637" t="s">
        <v>1900</v>
      </c>
      <c r="G637" t="s">
        <v>1908</v>
      </c>
      <c r="H637" t="s">
        <v>1912</v>
      </c>
      <c r="I637" s="4">
        <v>378</v>
      </c>
      <c r="J637" s="3">
        <v>356</v>
      </c>
      <c r="K637" s="3">
        <f>Table1[[#This Row],[Quantity Sold]]*Table1[[#This Row],[Unit Price (INR)]]</f>
        <v>134568</v>
      </c>
      <c r="L637" t="s">
        <v>1921</v>
      </c>
    </row>
    <row r="638" spans="1:12" x14ac:dyDescent="0.35">
      <c r="A638" t="s">
        <v>647</v>
      </c>
      <c r="B638" s="5">
        <v>46144</v>
      </c>
      <c r="C638" t="s">
        <v>1213</v>
      </c>
      <c r="D638" t="s">
        <v>1234</v>
      </c>
      <c r="E638" t="s">
        <v>1704</v>
      </c>
      <c r="F638" t="s">
        <v>1903</v>
      </c>
      <c r="G638" t="s">
        <v>1909</v>
      </c>
      <c r="H638" t="s">
        <v>1917</v>
      </c>
      <c r="I638" s="4">
        <v>435</v>
      </c>
      <c r="J638" s="3">
        <v>497</v>
      </c>
      <c r="K638" s="3">
        <f>Table1[[#This Row],[Quantity Sold]]*Table1[[#This Row],[Unit Price (INR)]]</f>
        <v>216195</v>
      </c>
      <c r="L638" t="s">
        <v>1923</v>
      </c>
    </row>
    <row r="639" spans="1:12" x14ac:dyDescent="0.35">
      <c r="A639" t="s">
        <v>648</v>
      </c>
      <c r="B639" s="5">
        <v>46145</v>
      </c>
      <c r="C639" t="s">
        <v>1214</v>
      </c>
      <c r="D639" t="s">
        <v>1226</v>
      </c>
      <c r="E639" t="s">
        <v>1705</v>
      </c>
      <c r="F639" t="s">
        <v>1906</v>
      </c>
      <c r="G639" t="s">
        <v>1911</v>
      </c>
      <c r="H639" t="s">
        <v>1913</v>
      </c>
      <c r="I639" s="4">
        <v>229</v>
      </c>
      <c r="J639" s="3">
        <v>253</v>
      </c>
      <c r="K639" s="3">
        <f>Table1[[#This Row],[Quantity Sold]]*Table1[[#This Row],[Unit Price (INR)]]</f>
        <v>57937</v>
      </c>
      <c r="L639" t="s">
        <v>1921</v>
      </c>
    </row>
    <row r="640" spans="1:12" x14ac:dyDescent="0.35">
      <c r="A640" t="s">
        <v>649</v>
      </c>
      <c r="B640" s="5">
        <v>46146</v>
      </c>
      <c r="C640" t="s">
        <v>1215</v>
      </c>
      <c r="D640" t="s">
        <v>1236</v>
      </c>
      <c r="E640" t="s">
        <v>1706</v>
      </c>
      <c r="F640" t="s">
        <v>1899</v>
      </c>
      <c r="G640" t="s">
        <v>1910</v>
      </c>
      <c r="H640" t="s">
        <v>1912</v>
      </c>
      <c r="I640" s="4">
        <v>74</v>
      </c>
      <c r="J640" s="3">
        <v>105</v>
      </c>
      <c r="K640" s="3">
        <f>Table1[[#This Row],[Quantity Sold]]*Table1[[#This Row],[Unit Price (INR)]]</f>
        <v>7770</v>
      </c>
      <c r="L640" t="s">
        <v>1920</v>
      </c>
    </row>
    <row r="641" spans="1:12" x14ac:dyDescent="0.35">
      <c r="A641" t="s">
        <v>650</v>
      </c>
      <c r="B641" s="5">
        <v>46147</v>
      </c>
      <c r="C641" t="s">
        <v>1214</v>
      </c>
      <c r="D641" t="s">
        <v>1227</v>
      </c>
      <c r="E641" t="s">
        <v>1707</v>
      </c>
      <c r="F641" t="s">
        <v>1900</v>
      </c>
      <c r="G641" t="s">
        <v>1909</v>
      </c>
      <c r="H641" t="s">
        <v>1915</v>
      </c>
      <c r="I641" s="4">
        <v>364</v>
      </c>
      <c r="J641" s="3">
        <v>257</v>
      </c>
      <c r="K641" s="3">
        <f>Table1[[#This Row],[Quantity Sold]]*Table1[[#This Row],[Unit Price (INR)]]</f>
        <v>93548</v>
      </c>
      <c r="L641" t="s">
        <v>1920</v>
      </c>
    </row>
    <row r="642" spans="1:12" x14ac:dyDescent="0.35">
      <c r="A642" t="s">
        <v>651</v>
      </c>
      <c r="B642" s="5">
        <v>46148</v>
      </c>
      <c r="C642" t="s">
        <v>1211</v>
      </c>
      <c r="D642" t="s">
        <v>1218</v>
      </c>
      <c r="E642" t="s">
        <v>1292</v>
      </c>
      <c r="F642" t="s">
        <v>1897</v>
      </c>
      <c r="G642" t="s">
        <v>1910</v>
      </c>
      <c r="H642" t="s">
        <v>1912</v>
      </c>
      <c r="I642" s="4">
        <v>241</v>
      </c>
      <c r="J642" s="3">
        <v>90</v>
      </c>
      <c r="K642" s="3">
        <f>Table1[[#This Row],[Quantity Sold]]*Table1[[#This Row],[Unit Price (INR)]]</f>
        <v>21690</v>
      </c>
      <c r="L642" t="s">
        <v>1921</v>
      </c>
    </row>
    <row r="643" spans="1:12" x14ac:dyDescent="0.35">
      <c r="A643" t="s">
        <v>652</v>
      </c>
      <c r="B643" s="5">
        <v>46149</v>
      </c>
      <c r="C643" t="s">
        <v>1217</v>
      </c>
      <c r="D643" t="s">
        <v>1245</v>
      </c>
      <c r="E643" t="s">
        <v>1708</v>
      </c>
      <c r="F643" t="s">
        <v>1906</v>
      </c>
      <c r="G643" t="s">
        <v>1909</v>
      </c>
      <c r="H643" t="s">
        <v>1913</v>
      </c>
      <c r="I643" s="4">
        <v>337</v>
      </c>
      <c r="J643" s="3">
        <v>81</v>
      </c>
      <c r="K643" s="3">
        <f>Table1[[#This Row],[Quantity Sold]]*Table1[[#This Row],[Unit Price (INR)]]</f>
        <v>27297</v>
      </c>
      <c r="L643" t="s">
        <v>1923</v>
      </c>
    </row>
    <row r="644" spans="1:12" x14ac:dyDescent="0.35">
      <c r="A644" t="s">
        <v>653</v>
      </c>
      <c r="B644" s="5">
        <v>46150</v>
      </c>
      <c r="C644" t="s">
        <v>1215</v>
      </c>
      <c r="D644" t="s">
        <v>1243</v>
      </c>
      <c r="E644" t="s">
        <v>1709</v>
      </c>
      <c r="F644" t="s">
        <v>1897</v>
      </c>
      <c r="G644" t="s">
        <v>1909</v>
      </c>
      <c r="H644" t="s">
        <v>1916</v>
      </c>
      <c r="I644" s="4">
        <v>452</v>
      </c>
      <c r="J644" s="3">
        <v>64</v>
      </c>
      <c r="K644" s="3">
        <f>Table1[[#This Row],[Quantity Sold]]*Table1[[#This Row],[Unit Price (INR)]]</f>
        <v>28928</v>
      </c>
      <c r="L644" t="s">
        <v>1922</v>
      </c>
    </row>
    <row r="645" spans="1:12" x14ac:dyDescent="0.35">
      <c r="A645" t="s">
        <v>654</v>
      </c>
      <c r="B645" s="5">
        <v>46151</v>
      </c>
      <c r="C645" t="s">
        <v>1213</v>
      </c>
      <c r="D645" t="s">
        <v>1244</v>
      </c>
      <c r="E645" t="s">
        <v>1358</v>
      </c>
      <c r="F645" t="s">
        <v>1906</v>
      </c>
      <c r="G645" t="s">
        <v>1907</v>
      </c>
      <c r="H645" t="s">
        <v>1913</v>
      </c>
      <c r="I645" s="4">
        <v>61</v>
      </c>
      <c r="J645" s="3">
        <v>111</v>
      </c>
      <c r="K645" s="3">
        <f>Table1[[#This Row],[Quantity Sold]]*Table1[[#This Row],[Unit Price (INR)]]</f>
        <v>6771</v>
      </c>
      <c r="L645" t="s">
        <v>1922</v>
      </c>
    </row>
    <row r="646" spans="1:12" x14ac:dyDescent="0.35">
      <c r="A646" t="s">
        <v>655</v>
      </c>
      <c r="B646" s="5">
        <v>46152</v>
      </c>
      <c r="C646" t="s">
        <v>1215</v>
      </c>
      <c r="D646" t="s">
        <v>1243</v>
      </c>
      <c r="E646" t="s">
        <v>1710</v>
      </c>
      <c r="F646" t="s">
        <v>1903</v>
      </c>
      <c r="G646" t="s">
        <v>1911</v>
      </c>
      <c r="H646" t="s">
        <v>1913</v>
      </c>
      <c r="I646" s="4">
        <v>383</v>
      </c>
      <c r="J646" s="3">
        <v>204</v>
      </c>
      <c r="K646" s="3">
        <f>Table1[[#This Row],[Quantity Sold]]*Table1[[#This Row],[Unit Price (INR)]]</f>
        <v>78132</v>
      </c>
      <c r="L646" t="s">
        <v>1921</v>
      </c>
    </row>
    <row r="647" spans="1:12" x14ac:dyDescent="0.35">
      <c r="A647" t="s">
        <v>656</v>
      </c>
      <c r="B647" s="5">
        <v>46153</v>
      </c>
      <c r="C647" t="s">
        <v>1215</v>
      </c>
      <c r="D647" t="s">
        <v>1231</v>
      </c>
      <c r="E647" t="s">
        <v>1496</v>
      </c>
      <c r="F647" t="s">
        <v>1905</v>
      </c>
      <c r="G647" t="s">
        <v>1911</v>
      </c>
      <c r="H647" t="s">
        <v>1912</v>
      </c>
      <c r="I647" s="4">
        <v>440</v>
      </c>
      <c r="J647" s="3">
        <v>333</v>
      </c>
      <c r="K647" s="3">
        <f>Table1[[#This Row],[Quantity Sold]]*Table1[[#This Row],[Unit Price (INR)]]</f>
        <v>146520</v>
      </c>
      <c r="L647" t="s">
        <v>1920</v>
      </c>
    </row>
    <row r="648" spans="1:12" x14ac:dyDescent="0.35">
      <c r="A648" t="s">
        <v>657</v>
      </c>
      <c r="B648" s="5">
        <v>46154</v>
      </c>
      <c r="C648" t="s">
        <v>1215</v>
      </c>
      <c r="D648" t="s">
        <v>1243</v>
      </c>
      <c r="E648" t="s">
        <v>1251</v>
      </c>
      <c r="F648" t="s">
        <v>1897</v>
      </c>
      <c r="G648" t="s">
        <v>1909</v>
      </c>
      <c r="H648" t="s">
        <v>1919</v>
      </c>
      <c r="I648" s="4">
        <v>385</v>
      </c>
      <c r="J648" s="3">
        <v>258</v>
      </c>
      <c r="K648" s="3">
        <f>Table1[[#This Row],[Quantity Sold]]*Table1[[#This Row],[Unit Price (INR)]]</f>
        <v>99330</v>
      </c>
      <c r="L648" t="s">
        <v>1920</v>
      </c>
    </row>
    <row r="649" spans="1:12" x14ac:dyDescent="0.35">
      <c r="A649" t="s">
        <v>658</v>
      </c>
      <c r="B649" s="5">
        <v>46155</v>
      </c>
      <c r="C649" t="s">
        <v>1216</v>
      </c>
      <c r="D649" t="s">
        <v>1232</v>
      </c>
      <c r="E649" t="s">
        <v>1384</v>
      </c>
      <c r="F649" t="s">
        <v>1900</v>
      </c>
      <c r="G649" t="s">
        <v>1908</v>
      </c>
      <c r="H649" t="s">
        <v>1918</v>
      </c>
      <c r="I649" s="4">
        <v>272</v>
      </c>
      <c r="J649" s="3">
        <v>369</v>
      </c>
      <c r="K649" s="3">
        <f>Table1[[#This Row],[Quantity Sold]]*Table1[[#This Row],[Unit Price (INR)]]</f>
        <v>100368</v>
      </c>
      <c r="L649" t="s">
        <v>1922</v>
      </c>
    </row>
    <row r="650" spans="1:12" x14ac:dyDescent="0.35">
      <c r="A650" t="s">
        <v>659</v>
      </c>
      <c r="B650" s="5">
        <v>46156</v>
      </c>
      <c r="C650" t="s">
        <v>1215</v>
      </c>
      <c r="D650" t="s">
        <v>1243</v>
      </c>
      <c r="E650" t="s">
        <v>1711</v>
      </c>
      <c r="F650" t="s">
        <v>1906</v>
      </c>
      <c r="G650" t="s">
        <v>1908</v>
      </c>
      <c r="H650" t="s">
        <v>1919</v>
      </c>
      <c r="I650" s="4">
        <v>276</v>
      </c>
      <c r="J650" s="3">
        <v>236</v>
      </c>
      <c r="K650" s="3">
        <f>Table1[[#This Row],[Quantity Sold]]*Table1[[#This Row],[Unit Price (INR)]]</f>
        <v>65136</v>
      </c>
      <c r="L650" t="s">
        <v>1921</v>
      </c>
    </row>
    <row r="651" spans="1:12" x14ac:dyDescent="0.35">
      <c r="A651" t="s">
        <v>660</v>
      </c>
      <c r="B651" s="5">
        <v>46157</v>
      </c>
      <c r="C651" t="s">
        <v>1214</v>
      </c>
      <c r="D651" t="s">
        <v>1226</v>
      </c>
      <c r="E651" t="s">
        <v>1712</v>
      </c>
      <c r="F651" t="s">
        <v>1901</v>
      </c>
      <c r="G651" t="s">
        <v>1910</v>
      </c>
      <c r="H651" t="s">
        <v>1912</v>
      </c>
      <c r="I651" s="4">
        <v>368</v>
      </c>
      <c r="J651" s="3">
        <v>491</v>
      </c>
      <c r="K651" s="3">
        <f>Table1[[#This Row],[Quantity Sold]]*Table1[[#This Row],[Unit Price (INR)]]</f>
        <v>180688</v>
      </c>
      <c r="L651" t="s">
        <v>1922</v>
      </c>
    </row>
    <row r="652" spans="1:12" x14ac:dyDescent="0.35">
      <c r="A652" t="s">
        <v>661</v>
      </c>
      <c r="B652" s="5">
        <v>46158</v>
      </c>
      <c r="C652" t="s">
        <v>1217</v>
      </c>
      <c r="D652" t="s">
        <v>1238</v>
      </c>
      <c r="E652" t="s">
        <v>1334</v>
      </c>
      <c r="F652" t="s">
        <v>1904</v>
      </c>
      <c r="G652" t="s">
        <v>1910</v>
      </c>
      <c r="H652" t="s">
        <v>1919</v>
      </c>
      <c r="I652" s="4">
        <v>326</v>
      </c>
      <c r="J652" s="3">
        <v>179</v>
      </c>
      <c r="K652" s="3">
        <f>Table1[[#This Row],[Quantity Sold]]*Table1[[#This Row],[Unit Price (INR)]]</f>
        <v>58354</v>
      </c>
      <c r="L652" t="s">
        <v>1923</v>
      </c>
    </row>
    <row r="653" spans="1:12" x14ac:dyDescent="0.35">
      <c r="A653" t="s">
        <v>662</v>
      </c>
      <c r="B653" s="5">
        <v>46159</v>
      </c>
      <c r="C653" t="s">
        <v>1211</v>
      </c>
      <c r="D653" t="s">
        <v>1224</v>
      </c>
      <c r="E653" t="s">
        <v>1635</v>
      </c>
      <c r="F653" t="s">
        <v>1901</v>
      </c>
      <c r="G653" t="s">
        <v>1907</v>
      </c>
      <c r="H653" t="s">
        <v>1914</v>
      </c>
      <c r="I653" s="4">
        <v>333</v>
      </c>
      <c r="J653" s="3">
        <v>176</v>
      </c>
      <c r="K653" s="3">
        <f>Table1[[#This Row],[Quantity Sold]]*Table1[[#This Row],[Unit Price (INR)]]</f>
        <v>58608</v>
      </c>
      <c r="L653" t="s">
        <v>1923</v>
      </c>
    </row>
    <row r="654" spans="1:12" x14ac:dyDescent="0.35">
      <c r="A654" t="s">
        <v>663</v>
      </c>
      <c r="B654" s="5">
        <v>46160</v>
      </c>
      <c r="C654" t="s">
        <v>1212</v>
      </c>
      <c r="D654" t="s">
        <v>1229</v>
      </c>
      <c r="E654" t="s">
        <v>1277</v>
      </c>
      <c r="F654" t="s">
        <v>1898</v>
      </c>
      <c r="G654" t="s">
        <v>1909</v>
      </c>
      <c r="H654" t="s">
        <v>1916</v>
      </c>
      <c r="I654" s="4">
        <v>418</v>
      </c>
      <c r="J654" s="3">
        <v>341</v>
      </c>
      <c r="K654" s="3">
        <f>Table1[[#This Row],[Quantity Sold]]*Table1[[#This Row],[Unit Price (INR)]]</f>
        <v>142538</v>
      </c>
      <c r="L654" t="s">
        <v>1921</v>
      </c>
    </row>
    <row r="655" spans="1:12" x14ac:dyDescent="0.35">
      <c r="A655" t="s">
        <v>664</v>
      </c>
      <c r="B655" s="5">
        <v>46161</v>
      </c>
      <c r="C655" t="s">
        <v>1215</v>
      </c>
      <c r="D655" t="s">
        <v>1231</v>
      </c>
      <c r="E655" t="s">
        <v>1713</v>
      </c>
      <c r="F655" t="s">
        <v>1905</v>
      </c>
      <c r="G655" t="s">
        <v>1910</v>
      </c>
      <c r="H655" t="s">
        <v>1919</v>
      </c>
      <c r="I655" s="4">
        <v>405</v>
      </c>
      <c r="J655" s="3">
        <v>163</v>
      </c>
      <c r="K655" s="3">
        <f>Table1[[#This Row],[Quantity Sold]]*Table1[[#This Row],[Unit Price (INR)]]</f>
        <v>66015</v>
      </c>
      <c r="L655" t="s">
        <v>1921</v>
      </c>
    </row>
    <row r="656" spans="1:12" x14ac:dyDescent="0.35">
      <c r="A656" t="s">
        <v>665</v>
      </c>
      <c r="B656" s="5">
        <v>46162</v>
      </c>
      <c r="C656" t="s">
        <v>1213</v>
      </c>
      <c r="D656" t="s">
        <v>1220</v>
      </c>
      <c r="E656" t="s">
        <v>1672</v>
      </c>
      <c r="F656" t="s">
        <v>1905</v>
      </c>
      <c r="G656" t="s">
        <v>1910</v>
      </c>
      <c r="H656" t="s">
        <v>1915</v>
      </c>
      <c r="I656" s="4">
        <v>163</v>
      </c>
      <c r="J656" s="3">
        <v>248</v>
      </c>
      <c r="K656" s="3">
        <f>Table1[[#This Row],[Quantity Sold]]*Table1[[#This Row],[Unit Price (INR)]]</f>
        <v>40424</v>
      </c>
      <c r="L656" t="s">
        <v>1923</v>
      </c>
    </row>
    <row r="657" spans="1:12" x14ac:dyDescent="0.35">
      <c r="A657" t="s">
        <v>666</v>
      </c>
      <c r="B657" s="5">
        <v>46163</v>
      </c>
      <c r="C657" t="s">
        <v>1215</v>
      </c>
      <c r="D657" t="s">
        <v>1231</v>
      </c>
      <c r="E657" t="s">
        <v>1714</v>
      </c>
      <c r="F657" t="s">
        <v>1901</v>
      </c>
      <c r="G657" t="s">
        <v>1909</v>
      </c>
      <c r="H657" t="s">
        <v>1917</v>
      </c>
      <c r="I657" s="4">
        <v>367</v>
      </c>
      <c r="J657" s="3">
        <v>62</v>
      </c>
      <c r="K657" s="3">
        <f>Table1[[#This Row],[Quantity Sold]]*Table1[[#This Row],[Unit Price (INR)]]</f>
        <v>22754</v>
      </c>
      <c r="L657" t="s">
        <v>1920</v>
      </c>
    </row>
    <row r="658" spans="1:12" x14ac:dyDescent="0.35">
      <c r="A658" t="s">
        <v>667</v>
      </c>
      <c r="B658" s="5">
        <v>46164</v>
      </c>
      <c r="C658" t="s">
        <v>1213</v>
      </c>
      <c r="D658" t="s">
        <v>1234</v>
      </c>
      <c r="E658" t="s">
        <v>1253</v>
      </c>
      <c r="F658" t="s">
        <v>1899</v>
      </c>
      <c r="G658" t="s">
        <v>1907</v>
      </c>
      <c r="H658" t="s">
        <v>1915</v>
      </c>
      <c r="I658" s="4">
        <v>375</v>
      </c>
      <c r="J658" s="3">
        <v>320</v>
      </c>
      <c r="K658" s="3">
        <f>Table1[[#This Row],[Quantity Sold]]*Table1[[#This Row],[Unit Price (INR)]]</f>
        <v>120000</v>
      </c>
      <c r="L658" t="s">
        <v>1921</v>
      </c>
    </row>
    <row r="659" spans="1:12" x14ac:dyDescent="0.35">
      <c r="A659" t="s">
        <v>668</v>
      </c>
      <c r="B659" s="5">
        <v>46165</v>
      </c>
      <c r="C659" t="s">
        <v>1214</v>
      </c>
      <c r="D659" t="s">
        <v>1227</v>
      </c>
      <c r="E659" t="s">
        <v>1511</v>
      </c>
      <c r="F659" t="s">
        <v>1903</v>
      </c>
      <c r="G659" t="s">
        <v>1910</v>
      </c>
      <c r="H659" t="s">
        <v>1917</v>
      </c>
      <c r="I659" s="4">
        <v>149</v>
      </c>
      <c r="J659" s="3">
        <v>138</v>
      </c>
      <c r="K659" s="3">
        <f>Table1[[#This Row],[Quantity Sold]]*Table1[[#This Row],[Unit Price (INR)]]</f>
        <v>20562</v>
      </c>
      <c r="L659" t="s">
        <v>1923</v>
      </c>
    </row>
    <row r="660" spans="1:12" x14ac:dyDescent="0.35">
      <c r="A660" t="s">
        <v>669</v>
      </c>
      <c r="B660" s="5">
        <v>46166</v>
      </c>
      <c r="C660" t="s">
        <v>1213</v>
      </c>
      <c r="D660" t="s">
        <v>1223</v>
      </c>
      <c r="E660" t="s">
        <v>1715</v>
      </c>
      <c r="F660" t="s">
        <v>1897</v>
      </c>
      <c r="G660" t="s">
        <v>1907</v>
      </c>
      <c r="H660" t="s">
        <v>1913</v>
      </c>
      <c r="I660" s="4">
        <v>436</v>
      </c>
      <c r="J660" s="3">
        <v>264</v>
      </c>
      <c r="K660" s="3">
        <f>Table1[[#This Row],[Quantity Sold]]*Table1[[#This Row],[Unit Price (INR)]]</f>
        <v>115104</v>
      </c>
      <c r="L660" t="s">
        <v>1923</v>
      </c>
    </row>
    <row r="661" spans="1:12" x14ac:dyDescent="0.35">
      <c r="A661" t="s">
        <v>670</v>
      </c>
      <c r="B661" s="5">
        <v>46167</v>
      </c>
      <c r="C661" t="s">
        <v>1212</v>
      </c>
      <c r="D661" t="s">
        <v>1219</v>
      </c>
      <c r="E661" t="s">
        <v>1608</v>
      </c>
      <c r="F661" t="s">
        <v>1900</v>
      </c>
      <c r="G661" t="s">
        <v>1911</v>
      </c>
      <c r="H661" t="s">
        <v>1914</v>
      </c>
      <c r="I661" s="4">
        <v>60</v>
      </c>
      <c r="J661" s="3">
        <v>493</v>
      </c>
      <c r="K661" s="3">
        <f>Table1[[#This Row],[Quantity Sold]]*Table1[[#This Row],[Unit Price (INR)]]</f>
        <v>29580</v>
      </c>
      <c r="L661" t="s">
        <v>1920</v>
      </c>
    </row>
    <row r="662" spans="1:12" x14ac:dyDescent="0.35">
      <c r="A662" t="s">
        <v>671</v>
      </c>
      <c r="B662" s="5">
        <v>46168</v>
      </c>
      <c r="C662" t="s">
        <v>1217</v>
      </c>
      <c r="D662" t="s">
        <v>1235</v>
      </c>
      <c r="E662" t="s">
        <v>1288</v>
      </c>
      <c r="F662" t="s">
        <v>1905</v>
      </c>
      <c r="G662" t="s">
        <v>1907</v>
      </c>
      <c r="H662" t="s">
        <v>1916</v>
      </c>
      <c r="I662" s="4">
        <v>126</v>
      </c>
      <c r="J662" s="3">
        <v>327</v>
      </c>
      <c r="K662" s="3">
        <f>Table1[[#This Row],[Quantity Sold]]*Table1[[#This Row],[Unit Price (INR)]]</f>
        <v>41202</v>
      </c>
      <c r="L662" t="s">
        <v>1920</v>
      </c>
    </row>
    <row r="663" spans="1:12" x14ac:dyDescent="0.35">
      <c r="A663" t="s">
        <v>672</v>
      </c>
      <c r="B663" s="5">
        <v>46169</v>
      </c>
      <c r="C663" t="s">
        <v>1213</v>
      </c>
      <c r="D663" t="s">
        <v>1223</v>
      </c>
      <c r="E663" t="s">
        <v>1540</v>
      </c>
      <c r="F663" t="s">
        <v>1901</v>
      </c>
      <c r="G663" t="s">
        <v>1908</v>
      </c>
      <c r="H663" t="s">
        <v>1915</v>
      </c>
      <c r="I663" s="4">
        <v>430</v>
      </c>
      <c r="J663" s="3">
        <v>496</v>
      </c>
      <c r="K663" s="3">
        <f>Table1[[#This Row],[Quantity Sold]]*Table1[[#This Row],[Unit Price (INR)]]</f>
        <v>213280</v>
      </c>
      <c r="L663" t="s">
        <v>1920</v>
      </c>
    </row>
    <row r="664" spans="1:12" x14ac:dyDescent="0.35">
      <c r="A664" t="s">
        <v>673</v>
      </c>
      <c r="B664" s="5">
        <v>46170</v>
      </c>
      <c r="C664" t="s">
        <v>1213</v>
      </c>
      <c r="D664" t="s">
        <v>1220</v>
      </c>
      <c r="E664" t="s">
        <v>1716</v>
      </c>
      <c r="F664" t="s">
        <v>1901</v>
      </c>
      <c r="G664" t="s">
        <v>1908</v>
      </c>
      <c r="H664" t="s">
        <v>1916</v>
      </c>
      <c r="I664" s="4">
        <v>55</v>
      </c>
      <c r="J664" s="3">
        <v>252</v>
      </c>
      <c r="K664" s="3">
        <f>Table1[[#This Row],[Quantity Sold]]*Table1[[#This Row],[Unit Price (INR)]]</f>
        <v>13860</v>
      </c>
      <c r="L664" t="s">
        <v>1920</v>
      </c>
    </row>
    <row r="665" spans="1:12" x14ac:dyDescent="0.35">
      <c r="A665" t="s">
        <v>674</v>
      </c>
      <c r="B665" s="5">
        <v>46171</v>
      </c>
      <c r="C665" t="s">
        <v>1217</v>
      </c>
      <c r="D665" t="s">
        <v>1237</v>
      </c>
      <c r="E665" t="s">
        <v>1418</v>
      </c>
      <c r="F665" t="s">
        <v>1903</v>
      </c>
      <c r="G665" t="s">
        <v>1907</v>
      </c>
      <c r="H665" t="s">
        <v>1915</v>
      </c>
      <c r="I665" s="4">
        <v>318</v>
      </c>
      <c r="J665" s="3">
        <v>123</v>
      </c>
      <c r="K665" s="3">
        <f>Table1[[#This Row],[Quantity Sold]]*Table1[[#This Row],[Unit Price (INR)]]</f>
        <v>39114</v>
      </c>
      <c r="L665" t="s">
        <v>1922</v>
      </c>
    </row>
    <row r="666" spans="1:12" x14ac:dyDescent="0.35">
      <c r="A666" t="s">
        <v>675</v>
      </c>
      <c r="B666" s="5">
        <v>46172</v>
      </c>
      <c r="C666" t="s">
        <v>1212</v>
      </c>
      <c r="D666" t="s">
        <v>1233</v>
      </c>
      <c r="E666" t="s">
        <v>1717</v>
      </c>
      <c r="F666" t="s">
        <v>1903</v>
      </c>
      <c r="G666" t="s">
        <v>1908</v>
      </c>
      <c r="H666" t="s">
        <v>1913</v>
      </c>
      <c r="I666" s="4">
        <v>97</v>
      </c>
      <c r="J666" s="3">
        <v>74</v>
      </c>
      <c r="K666" s="3">
        <f>Table1[[#This Row],[Quantity Sold]]*Table1[[#This Row],[Unit Price (INR)]]</f>
        <v>7178</v>
      </c>
      <c r="L666" t="s">
        <v>1920</v>
      </c>
    </row>
    <row r="667" spans="1:12" x14ac:dyDescent="0.35">
      <c r="A667" t="s">
        <v>676</v>
      </c>
      <c r="B667" s="5">
        <v>46173</v>
      </c>
      <c r="C667" t="s">
        <v>1215</v>
      </c>
      <c r="D667" t="s">
        <v>1225</v>
      </c>
      <c r="E667" t="s">
        <v>1640</v>
      </c>
      <c r="F667" t="s">
        <v>1902</v>
      </c>
      <c r="G667" t="s">
        <v>1911</v>
      </c>
      <c r="H667" t="s">
        <v>1917</v>
      </c>
      <c r="I667" s="4">
        <v>217</v>
      </c>
      <c r="J667" s="3">
        <v>150</v>
      </c>
      <c r="K667" s="3">
        <f>Table1[[#This Row],[Quantity Sold]]*Table1[[#This Row],[Unit Price (INR)]]</f>
        <v>32550</v>
      </c>
      <c r="L667" t="s">
        <v>1922</v>
      </c>
    </row>
    <row r="668" spans="1:12" x14ac:dyDescent="0.35">
      <c r="A668" t="s">
        <v>677</v>
      </c>
      <c r="B668" s="5">
        <v>46174</v>
      </c>
      <c r="C668" t="s">
        <v>1213</v>
      </c>
      <c r="D668" t="s">
        <v>1244</v>
      </c>
      <c r="E668" t="s">
        <v>1718</v>
      </c>
      <c r="F668" t="s">
        <v>1902</v>
      </c>
      <c r="G668" t="s">
        <v>1909</v>
      </c>
      <c r="H668" t="s">
        <v>1918</v>
      </c>
      <c r="I668" s="4">
        <v>386</v>
      </c>
      <c r="J668" s="3">
        <v>225</v>
      </c>
      <c r="K668" s="3">
        <f>Table1[[#This Row],[Quantity Sold]]*Table1[[#This Row],[Unit Price (INR)]]</f>
        <v>86850</v>
      </c>
      <c r="L668" t="s">
        <v>1921</v>
      </c>
    </row>
    <row r="669" spans="1:12" x14ac:dyDescent="0.35">
      <c r="A669" t="s">
        <v>678</v>
      </c>
      <c r="B669" s="5">
        <v>46175</v>
      </c>
      <c r="C669" t="s">
        <v>1217</v>
      </c>
      <c r="D669" t="s">
        <v>1235</v>
      </c>
      <c r="E669" t="s">
        <v>1719</v>
      </c>
      <c r="F669" t="s">
        <v>1899</v>
      </c>
      <c r="G669" t="s">
        <v>1908</v>
      </c>
      <c r="H669" t="s">
        <v>1914</v>
      </c>
      <c r="I669" s="4">
        <v>278</v>
      </c>
      <c r="J669" s="3">
        <v>476</v>
      </c>
      <c r="K669" s="3">
        <f>Table1[[#This Row],[Quantity Sold]]*Table1[[#This Row],[Unit Price (INR)]]</f>
        <v>132328</v>
      </c>
      <c r="L669" t="s">
        <v>1923</v>
      </c>
    </row>
    <row r="670" spans="1:12" x14ac:dyDescent="0.35">
      <c r="A670" t="s">
        <v>679</v>
      </c>
      <c r="B670" s="5">
        <v>46176</v>
      </c>
      <c r="C670" t="s">
        <v>1214</v>
      </c>
      <c r="D670" t="s">
        <v>1227</v>
      </c>
      <c r="E670" t="s">
        <v>1475</v>
      </c>
      <c r="F670" t="s">
        <v>1899</v>
      </c>
      <c r="G670" t="s">
        <v>1908</v>
      </c>
      <c r="H670" t="s">
        <v>1915</v>
      </c>
      <c r="I670" s="4">
        <v>98</v>
      </c>
      <c r="J670" s="3">
        <v>166</v>
      </c>
      <c r="K670" s="3">
        <f>Table1[[#This Row],[Quantity Sold]]*Table1[[#This Row],[Unit Price (INR)]]</f>
        <v>16268</v>
      </c>
      <c r="L670" t="s">
        <v>1922</v>
      </c>
    </row>
    <row r="671" spans="1:12" x14ac:dyDescent="0.35">
      <c r="A671" t="s">
        <v>680</v>
      </c>
      <c r="B671" s="5">
        <v>46177</v>
      </c>
      <c r="C671" t="s">
        <v>1217</v>
      </c>
      <c r="D671" t="s">
        <v>1238</v>
      </c>
      <c r="E671" t="s">
        <v>1720</v>
      </c>
      <c r="F671" t="s">
        <v>1898</v>
      </c>
      <c r="G671" t="s">
        <v>1907</v>
      </c>
      <c r="H671" t="s">
        <v>1915</v>
      </c>
      <c r="I671" s="4">
        <v>390</v>
      </c>
      <c r="J671" s="3">
        <v>215</v>
      </c>
      <c r="K671" s="3">
        <f>Table1[[#This Row],[Quantity Sold]]*Table1[[#This Row],[Unit Price (INR)]]</f>
        <v>83850</v>
      </c>
      <c r="L671" t="s">
        <v>1921</v>
      </c>
    </row>
    <row r="672" spans="1:12" x14ac:dyDescent="0.35">
      <c r="A672" t="s">
        <v>681</v>
      </c>
      <c r="B672" s="5">
        <v>46178</v>
      </c>
      <c r="C672" t="s">
        <v>1214</v>
      </c>
      <c r="D672" t="s">
        <v>1226</v>
      </c>
      <c r="E672" t="s">
        <v>1721</v>
      </c>
      <c r="F672" t="s">
        <v>1899</v>
      </c>
      <c r="G672" t="s">
        <v>1911</v>
      </c>
      <c r="H672" t="s">
        <v>1913</v>
      </c>
      <c r="I672" s="4">
        <v>127</v>
      </c>
      <c r="J672" s="3">
        <v>90</v>
      </c>
      <c r="K672" s="3">
        <f>Table1[[#This Row],[Quantity Sold]]*Table1[[#This Row],[Unit Price (INR)]]</f>
        <v>11430</v>
      </c>
      <c r="L672" t="s">
        <v>1921</v>
      </c>
    </row>
    <row r="673" spans="1:12" x14ac:dyDescent="0.35">
      <c r="A673" t="s">
        <v>682</v>
      </c>
      <c r="B673" s="5">
        <v>46179</v>
      </c>
      <c r="C673" t="s">
        <v>1212</v>
      </c>
      <c r="D673" t="s">
        <v>1219</v>
      </c>
      <c r="E673" t="s">
        <v>1722</v>
      </c>
      <c r="F673" t="s">
        <v>1906</v>
      </c>
      <c r="G673" t="s">
        <v>1909</v>
      </c>
      <c r="H673" t="s">
        <v>1914</v>
      </c>
      <c r="I673" s="4">
        <v>63</v>
      </c>
      <c r="J673" s="3">
        <v>478</v>
      </c>
      <c r="K673" s="3">
        <f>Table1[[#This Row],[Quantity Sold]]*Table1[[#This Row],[Unit Price (INR)]]</f>
        <v>30114</v>
      </c>
      <c r="L673" t="s">
        <v>1922</v>
      </c>
    </row>
    <row r="674" spans="1:12" x14ac:dyDescent="0.35">
      <c r="A674" t="s">
        <v>683</v>
      </c>
      <c r="B674" s="5">
        <v>46180</v>
      </c>
      <c r="C674" t="s">
        <v>1215</v>
      </c>
      <c r="D674" t="s">
        <v>1231</v>
      </c>
      <c r="E674" t="s">
        <v>1723</v>
      </c>
      <c r="F674" t="s">
        <v>1903</v>
      </c>
      <c r="G674" t="s">
        <v>1907</v>
      </c>
      <c r="H674" t="s">
        <v>1917</v>
      </c>
      <c r="I674" s="4">
        <v>450</v>
      </c>
      <c r="J674" s="3">
        <v>393</v>
      </c>
      <c r="K674" s="3">
        <f>Table1[[#This Row],[Quantity Sold]]*Table1[[#This Row],[Unit Price (INR)]]</f>
        <v>176850</v>
      </c>
      <c r="L674" t="s">
        <v>1921</v>
      </c>
    </row>
    <row r="675" spans="1:12" x14ac:dyDescent="0.35">
      <c r="A675" t="s">
        <v>684</v>
      </c>
      <c r="B675" s="5">
        <v>46181</v>
      </c>
      <c r="C675" t="s">
        <v>1217</v>
      </c>
      <c r="D675" t="s">
        <v>1235</v>
      </c>
      <c r="E675" t="s">
        <v>1693</v>
      </c>
      <c r="F675" t="s">
        <v>1900</v>
      </c>
      <c r="G675" t="s">
        <v>1907</v>
      </c>
      <c r="H675" t="s">
        <v>1917</v>
      </c>
      <c r="I675" s="4">
        <v>125</v>
      </c>
      <c r="J675" s="3">
        <v>473</v>
      </c>
      <c r="K675" s="3">
        <f>Table1[[#This Row],[Quantity Sold]]*Table1[[#This Row],[Unit Price (INR)]]</f>
        <v>59125</v>
      </c>
      <c r="L675" t="s">
        <v>1921</v>
      </c>
    </row>
    <row r="676" spans="1:12" x14ac:dyDescent="0.35">
      <c r="A676" t="s">
        <v>685</v>
      </c>
      <c r="B676" s="5">
        <v>46182</v>
      </c>
      <c r="C676" t="s">
        <v>1211</v>
      </c>
      <c r="D676" t="s">
        <v>1221</v>
      </c>
      <c r="E676" t="s">
        <v>1724</v>
      </c>
      <c r="F676" t="s">
        <v>1906</v>
      </c>
      <c r="G676" t="s">
        <v>1911</v>
      </c>
      <c r="H676" t="s">
        <v>1915</v>
      </c>
      <c r="I676" s="4">
        <v>127</v>
      </c>
      <c r="J676" s="3">
        <v>415</v>
      </c>
      <c r="K676" s="3">
        <f>Table1[[#This Row],[Quantity Sold]]*Table1[[#This Row],[Unit Price (INR)]]</f>
        <v>52705</v>
      </c>
      <c r="L676" t="s">
        <v>1922</v>
      </c>
    </row>
    <row r="677" spans="1:12" x14ac:dyDescent="0.35">
      <c r="A677" t="s">
        <v>686</v>
      </c>
      <c r="B677" s="5">
        <v>46183</v>
      </c>
      <c r="C677" t="s">
        <v>1211</v>
      </c>
      <c r="D677" t="s">
        <v>1218</v>
      </c>
      <c r="E677" t="s">
        <v>1717</v>
      </c>
      <c r="F677" t="s">
        <v>1897</v>
      </c>
      <c r="G677" t="s">
        <v>1909</v>
      </c>
      <c r="H677" t="s">
        <v>1918</v>
      </c>
      <c r="I677" s="4">
        <v>269</v>
      </c>
      <c r="J677" s="3">
        <v>169</v>
      </c>
      <c r="K677" s="3">
        <f>Table1[[#This Row],[Quantity Sold]]*Table1[[#This Row],[Unit Price (INR)]]</f>
        <v>45461</v>
      </c>
      <c r="L677" t="s">
        <v>1921</v>
      </c>
    </row>
    <row r="678" spans="1:12" x14ac:dyDescent="0.35">
      <c r="A678" t="s">
        <v>687</v>
      </c>
      <c r="B678" s="5">
        <v>46184</v>
      </c>
      <c r="C678" t="s">
        <v>1216</v>
      </c>
      <c r="D678" t="s">
        <v>1241</v>
      </c>
      <c r="E678" t="s">
        <v>1360</v>
      </c>
      <c r="F678" t="s">
        <v>1901</v>
      </c>
      <c r="G678" t="s">
        <v>1911</v>
      </c>
      <c r="H678" t="s">
        <v>1918</v>
      </c>
      <c r="I678" s="4">
        <v>84</v>
      </c>
      <c r="J678" s="3">
        <v>146</v>
      </c>
      <c r="K678" s="3">
        <f>Table1[[#This Row],[Quantity Sold]]*Table1[[#This Row],[Unit Price (INR)]]</f>
        <v>12264</v>
      </c>
      <c r="L678" t="s">
        <v>1920</v>
      </c>
    </row>
    <row r="679" spans="1:12" x14ac:dyDescent="0.35">
      <c r="A679" t="s">
        <v>688</v>
      </c>
      <c r="B679" s="5">
        <v>46185</v>
      </c>
      <c r="C679" t="s">
        <v>1213</v>
      </c>
      <c r="D679" t="s">
        <v>1234</v>
      </c>
      <c r="E679" t="s">
        <v>1725</v>
      </c>
      <c r="F679" t="s">
        <v>1899</v>
      </c>
      <c r="G679" t="s">
        <v>1909</v>
      </c>
      <c r="H679" t="s">
        <v>1916</v>
      </c>
      <c r="I679" s="4">
        <v>489</v>
      </c>
      <c r="J679" s="3">
        <v>194</v>
      </c>
      <c r="K679" s="3">
        <f>Table1[[#This Row],[Quantity Sold]]*Table1[[#This Row],[Unit Price (INR)]]</f>
        <v>94866</v>
      </c>
      <c r="L679" t="s">
        <v>1920</v>
      </c>
    </row>
    <row r="680" spans="1:12" x14ac:dyDescent="0.35">
      <c r="A680" t="s">
        <v>689</v>
      </c>
      <c r="B680" s="5">
        <v>46186</v>
      </c>
      <c r="C680" t="s">
        <v>1212</v>
      </c>
      <c r="D680" t="s">
        <v>1229</v>
      </c>
      <c r="E680" t="s">
        <v>1442</v>
      </c>
      <c r="F680" t="s">
        <v>1901</v>
      </c>
      <c r="G680" t="s">
        <v>1911</v>
      </c>
      <c r="H680" t="s">
        <v>1914</v>
      </c>
      <c r="I680" s="4">
        <v>314</v>
      </c>
      <c r="J680" s="3">
        <v>265</v>
      </c>
      <c r="K680" s="3">
        <f>Table1[[#This Row],[Quantity Sold]]*Table1[[#This Row],[Unit Price (INR)]]</f>
        <v>83210</v>
      </c>
      <c r="L680" t="s">
        <v>1923</v>
      </c>
    </row>
    <row r="681" spans="1:12" x14ac:dyDescent="0.35">
      <c r="A681" t="s">
        <v>690</v>
      </c>
      <c r="B681" s="5">
        <v>46187</v>
      </c>
      <c r="C681" t="s">
        <v>1217</v>
      </c>
      <c r="D681" t="s">
        <v>1246</v>
      </c>
      <c r="E681" t="s">
        <v>1726</v>
      </c>
      <c r="F681" t="s">
        <v>1905</v>
      </c>
      <c r="G681" t="s">
        <v>1907</v>
      </c>
      <c r="H681" t="s">
        <v>1914</v>
      </c>
      <c r="I681" s="4">
        <v>16</v>
      </c>
      <c r="J681" s="3">
        <v>278</v>
      </c>
      <c r="K681" s="3">
        <f>Table1[[#This Row],[Quantity Sold]]*Table1[[#This Row],[Unit Price (INR)]]</f>
        <v>4448</v>
      </c>
      <c r="L681" t="s">
        <v>1921</v>
      </c>
    </row>
    <row r="682" spans="1:12" x14ac:dyDescent="0.35">
      <c r="A682" t="s">
        <v>691</v>
      </c>
      <c r="B682" s="5">
        <v>46188</v>
      </c>
      <c r="C682" t="s">
        <v>1211</v>
      </c>
      <c r="D682" t="s">
        <v>1218</v>
      </c>
      <c r="E682" t="s">
        <v>1428</v>
      </c>
      <c r="F682" t="s">
        <v>1898</v>
      </c>
      <c r="G682" t="s">
        <v>1907</v>
      </c>
      <c r="H682" t="s">
        <v>1917</v>
      </c>
      <c r="I682" s="4">
        <v>375</v>
      </c>
      <c r="J682" s="3">
        <v>362</v>
      </c>
      <c r="K682" s="3">
        <f>Table1[[#This Row],[Quantity Sold]]*Table1[[#This Row],[Unit Price (INR)]]</f>
        <v>135750</v>
      </c>
      <c r="L682" t="s">
        <v>1923</v>
      </c>
    </row>
    <row r="683" spans="1:12" x14ac:dyDescent="0.35">
      <c r="A683" t="s">
        <v>692</v>
      </c>
      <c r="B683" s="5">
        <v>46189</v>
      </c>
      <c r="C683" t="s">
        <v>1213</v>
      </c>
      <c r="D683" t="s">
        <v>1220</v>
      </c>
      <c r="E683" t="s">
        <v>1727</v>
      </c>
      <c r="F683" t="s">
        <v>1905</v>
      </c>
      <c r="G683" t="s">
        <v>1910</v>
      </c>
      <c r="H683" t="s">
        <v>1916</v>
      </c>
      <c r="I683" s="4">
        <v>131</v>
      </c>
      <c r="J683" s="3">
        <v>179</v>
      </c>
      <c r="K683" s="3">
        <f>Table1[[#This Row],[Quantity Sold]]*Table1[[#This Row],[Unit Price (INR)]]</f>
        <v>23449</v>
      </c>
      <c r="L683" t="s">
        <v>1920</v>
      </c>
    </row>
    <row r="684" spans="1:12" x14ac:dyDescent="0.35">
      <c r="A684" t="s">
        <v>693</v>
      </c>
      <c r="B684" s="5">
        <v>46190</v>
      </c>
      <c r="C684" t="s">
        <v>1211</v>
      </c>
      <c r="D684" t="s">
        <v>1221</v>
      </c>
      <c r="E684" t="s">
        <v>1471</v>
      </c>
      <c r="F684" t="s">
        <v>1898</v>
      </c>
      <c r="G684" t="s">
        <v>1908</v>
      </c>
      <c r="H684" t="s">
        <v>1913</v>
      </c>
      <c r="I684" s="4">
        <v>20</v>
      </c>
      <c r="J684" s="3">
        <v>401</v>
      </c>
      <c r="K684" s="3">
        <f>Table1[[#This Row],[Quantity Sold]]*Table1[[#This Row],[Unit Price (INR)]]</f>
        <v>8020</v>
      </c>
      <c r="L684" t="s">
        <v>1920</v>
      </c>
    </row>
    <row r="685" spans="1:12" x14ac:dyDescent="0.35">
      <c r="A685" t="s">
        <v>694</v>
      </c>
      <c r="B685" s="5">
        <v>46191</v>
      </c>
      <c r="C685" t="s">
        <v>1217</v>
      </c>
      <c r="D685" t="s">
        <v>1237</v>
      </c>
      <c r="E685" t="s">
        <v>1728</v>
      </c>
      <c r="F685" t="s">
        <v>1902</v>
      </c>
      <c r="G685" t="s">
        <v>1911</v>
      </c>
      <c r="H685" t="s">
        <v>1914</v>
      </c>
      <c r="I685" s="4">
        <v>357</v>
      </c>
      <c r="J685" s="3">
        <v>426</v>
      </c>
      <c r="K685" s="3">
        <f>Table1[[#This Row],[Quantity Sold]]*Table1[[#This Row],[Unit Price (INR)]]</f>
        <v>152082</v>
      </c>
      <c r="L685" t="s">
        <v>1920</v>
      </c>
    </row>
    <row r="686" spans="1:12" x14ac:dyDescent="0.35">
      <c r="A686" t="s">
        <v>695</v>
      </c>
      <c r="B686" s="5">
        <v>46192</v>
      </c>
      <c r="C686" t="s">
        <v>1214</v>
      </c>
      <c r="D686" t="s">
        <v>1228</v>
      </c>
      <c r="E686" t="s">
        <v>1729</v>
      </c>
      <c r="F686" t="s">
        <v>1901</v>
      </c>
      <c r="G686" t="s">
        <v>1910</v>
      </c>
      <c r="H686" t="s">
        <v>1916</v>
      </c>
      <c r="I686" s="4">
        <v>447</v>
      </c>
      <c r="J686" s="3">
        <v>367</v>
      </c>
      <c r="K686" s="3">
        <f>Table1[[#This Row],[Quantity Sold]]*Table1[[#This Row],[Unit Price (INR)]]</f>
        <v>164049</v>
      </c>
      <c r="L686" t="s">
        <v>1921</v>
      </c>
    </row>
    <row r="687" spans="1:12" x14ac:dyDescent="0.35">
      <c r="A687" t="s">
        <v>696</v>
      </c>
      <c r="B687" s="5">
        <v>46193</v>
      </c>
      <c r="C687" t="s">
        <v>1217</v>
      </c>
      <c r="D687" t="s">
        <v>1245</v>
      </c>
      <c r="E687" t="s">
        <v>1537</v>
      </c>
      <c r="F687" t="s">
        <v>1898</v>
      </c>
      <c r="G687" t="s">
        <v>1908</v>
      </c>
      <c r="H687" t="s">
        <v>1916</v>
      </c>
      <c r="I687" s="4">
        <v>498</v>
      </c>
      <c r="J687" s="3">
        <v>186</v>
      </c>
      <c r="K687" s="3">
        <f>Table1[[#This Row],[Quantity Sold]]*Table1[[#This Row],[Unit Price (INR)]]</f>
        <v>92628</v>
      </c>
      <c r="L687" t="s">
        <v>1921</v>
      </c>
    </row>
    <row r="688" spans="1:12" x14ac:dyDescent="0.35">
      <c r="A688" t="s">
        <v>697</v>
      </c>
      <c r="B688" s="5">
        <v>46194</v>
      </c>
      <c r="C688" t="s">
        <v>1216</v>
      </c>
      <c r="D688" t="s">
        <v>1239</v>
      </c>
      <c r="E688" t="s">
        <v>1730</v>
      </c>
      <c r="F688" t="s">
        <v>1904</v>
      </c>
      <c r="G688" t="s">
        <v>1911</v>
      </c>
      <c r="H688" t="s">
        <v>1915</v>
      </c>
      <c r="I688" s="4">
        <v>224</v>
      </c>
      <c r="J688" s="3">
        <v>373</v>
      </c>
      <c r="K688" s="3">
        <f>Table1[[#This Row],[Quantity Sold]]*Table1[[#This Row],[Unit Price (INR)]]</f>
        <v>83552</v>
      </c>
      <c r="L688" t="s">
        <v>1920</v>
      </c>
    </row>
    <row r="689" spans="1:12" x14ac:dyDescent="0.35">
      <c r="A689" t="s">
        <v>698</v>
      </c>
      <c r="B689" s="5">
        <v>46195</v>
      </c>
      <c r="C689" t="s">
        <v>1217</v>
      </c>
      <c r="D689" t="s">
        <v>1246</v>
      </c>
      <c r="E689" t="s">
        <v>1346</v>
      </c>
      <c r="F689" t="s">
        <v>1906</v>
      </c>
      <c r="G689" t="s">
        <v>1909</v>
      </c>
      <c r="H689" t="s">
        <v>1917</v>
      </c>
      <c r="I689" s="4">
        <v>438</v>
      </c>
      <c r="J689" s="3">
        <v>386</v>
      </c>
      <c r="K689" s="3">
        <f>Table1[[#This Row],[Quantity Sold]]*Table1[[#This Row],[Unit Price (INR)]]</f>
        <v>169068</v>
      </c>
      <c r="L689" t="s">
        <v>1923</v>
      </c>
    </row>
    <row r="690" spans="1:12" x14ac:dyDescent="0.35">
      <c r="A690" t="s">
        <v>699</v>
      </c>
      <c r="B690" s="5">
        <v>46196</v>
      </c>
      <c r="C690" t="s">
        <v>1217</v>
      </c>
      <c r="D690" t="s">
        <v>1246</v>
      </c>
      <c r="E690" t="s">
        <v>1731</v>
      </c>
      <c r="F690" t="s">
        <v>1898</v>
      </c>
      <c r="G690" t="s">
        <v>1908</v>
      </c>
      <c r="H690" t="s">
        <v>1916</v>
      </c>
      <c r="I690" s="4">
        <v>288</v>
      </c>
      <c r="J690" s="3">
        <v>322</v>
      </c>
      <c r="K690" s="3">
        <f>Table1[[#This Row],[Quantity Sold]]*Table1[[#This Row],[Unit Price (INR)]]</f>
        <v>92736</v>
      </c>
      <c r="L690" t="s">
        <v>1923</v>
      </c>
    </row>
    <row r="691" spans="1:12" x14ac:dyDescent="0.35">
      <c r="A691" t="s">
        <v>700</v>
      </c>
      <c r="B691" s="5">
        <v>46197</v>
      </c>
      <c r="C691" t="s">
        <v>1216</v>
      </c>
      <c r="D691" t="s">
        <v>1232</v>
      </c>
      <c r="E691" t="s">
        <v>1690</v>
      </c>
      <c r="F691" t="s">
        <v>1898</v>
      </c>
      <c r="G691" t="s">
        <v>1907</v>
      </c>
      <c r="H691" t="s">
        <v>1912</v>
      </c>
      <c r="I691" s="4">
        <v>37</v>
      </c>
      <c r="J691" s="3">
        <v>166</v>
      </c>
      <c r="K691" s="3">
        <f>Table1[[#This Row],[Quantity Sold]]*Table1[[#This Row],[Unit Price (INR)]]</f>
        <v>6142</v>
      </c>
      <c r="L691" t="s">
        <v>1922</v>
      </c>
    </row>
    <row r="692" spans="1:12" x14ac:dyDescent="0.35">
      <c r="A692" t="s">
        <v>701</v>
      </c>
      <c r="B692" s="5">
        <v>46198</v>
      </c>
      <c r="C692" t="s">
        <v>1212</v>
      </c>
      <c r="D692" t="s">
        <v>1240</v>
      </c>
      <c r="E692" t="s">
        <v>1354</v>
      </c>
      <c r="F692" t="s">
        <v>1906</v>
      </c>
      <c r="G692" t="s">
        <v>1910</v>
      </c>
      <c r="H692" t="s">
        <v>1918</v>
      </c>
      <c r="I692" s="4">
        <v>244</v>
      </c>
      <c r="J692" s="3">
        <v>355</v>
      </c>
      <c r="K692" s="3">
        <f>Table1[[#This Row],[Quantity Sold]]*Table1[[#This Row],[Unit Price (INR)]]</f>
        <v>86620</v>
      </c>
      <c r="L692" t="s">
        <v>1920</v>
      </c>
    </row>
    <row r="693" spans="1:12" x14ac:dyDescent="0.35">
      <c r="A693" t="s">
        <v>702</v>
      </c>
      <c r="B693" s="5">
        <v>46199</v>
      </c>
      <c r="C693" t="s">
        <v>1217</v>
      </c>
      <c r="D693" t="s">
        <v>1237</v>
      </c>
      <c r="E693" t="s">
        <v>1732</v>
      </c>
      <c r="F693" t="s">
        <v>1901</v>
      </c>
      <c r="G693" t="s">
        <v>1908</v>
      </c>
      <c r="H693" t="s">
        <v>1912</v>
      </c>
      <c r="I693" s="4">
        <v>376</v>
      </c>
      <c r="J693" s="3">
        <v>417</v>
      </c>
      <c r="K693" s="3">
        <f>Table1[[#This Row],[Quantity Sold]]*Table1[[#This Row],[Unit Price (INR)]]</f>
        <v>156792</v>
      </c>
      <c r="L693" t="s">
        <v>1923</v>
      </c>
    </row>
    <row r="694" spans="1:12" x14ac:dyDescent="0.35">
      <c r="A694" t="s">
        <v>703</v>
      </c>
      <c r="B694" s="5">
        <v>46200</v>
      </c>
      <c r="C694" t="s">
        <v>1216</v>
      </c>
      <c r="D694" t="s">
        <v>1239</v>
      </c>
      <c r="E694" t="s">
        <v>1398</v>
      </c>
      <c r="F694" t="s">
        <v>1901</v>
      </c>
      <c r="G694" t="s">
        <v>1908</v>
      </c>
      <c r="H694" t="s">
        <v>1918</v>
      </c>
      <c r="I694" s="4">
        <v>322</v>
      </c>
      <c r="J694" s="3">
        <v>143</v>
      </c>
      <c r="K694" s="3">
        <f>Table1[[#This Row],[Quantity Sold]]*Table1[[#This Row],[Unit Price (INR)]]</f>
        <v>46046</v>
      </c>
      <c r="L694" t="s">
        <v>1920</v>
      </c>
    </row>
    <row r="695" spans="1:12" x14ac:dyDescent="0.35">
      <c r="A695" t="s">
        <v>704</v>
      </c>
      <c r="B695" s="5">
        <v>46201</v>
      </c>
      <c r="C695" t="s">
        <v>1213</v>
      </c>
      <c r="D695" t="s">
        <v>1220</v>
      </c>
      <c r="E695" t="s">
        <v>1733</v>
      </c>
      <c r="F695" t="s">
        <v>1906</v>
      </c>
      <c r="G695" t="s">
        <v>1907</v>
      </c>
      <c r="H695" t="s">
        <v>1919</v>
      </c>
      <c r="I695" s="4">
        <v>35</v>
      </c>
      <c r="J695" s="3">
        <v>217</v>
      </c>
      <c r="K695" s="3">
        <f>Table1[[#This Row],[Quantity Sold]]*Table1[[#This Row],[Unit Price (INR)]]</f>
        <v>7595</v>
      </c>
      <c r="L695" t="s">
        <v>1923</v>
      </c>
    </row>
    <row r="696" spans="1:12" x14ac:dyDescent="0.35">
      <c r="A696" t="s">
        <v>705</v>
      </c>
      <c r="B696" s="5">
        <v>46202</v>
      </c>
      <c r="C696" t="s">
        <v>1214</v>
      </c>
      <c r="D696" t="s">
        <v>1228</v>
      </c>
      <c r="E696" t="s">
        <v>1722</v>
      </c>
      <c r="F696" t="s">
        <v>1905</v>
      </c>
      <c r="G696" t="s">
        <v>1911</v>
      </c>
      <c r="H696" t="s">
        <v>1917</v>
      </c>
      <c r="I696" s="4">
        <v>418</v>
      </c>
      <c r="J696" s="3">
        <v>491</v>
      </c>
      <c r="K696" s="3">
        <f>Table1[[#This Row],[Quantity Sold]]*Table1[[#This Row],[Unit Price (INR)]]</f>
        <v>205238</v>
      </c>
      <c r="L696" t="s">
        <v>1922</v>
      </c>
    </row>
    <row r="697" spans="1:12" x14ac:dyDescent="0.35">
      <c r="A697" t="s">
        <v>706</v>
      </c>
      <c r="B697" s="5">
        <v>46203</v>
      </c>
      <c r="C697" t="s">
        <v>1214</v>
      </c>
      <c r="D697" t="s">
        <v>1222</v>
      </c>
      <c r="E697" t="s">
        <v>1574</v>
      </c>
      <c r="F697" t="s">
        <v>1904</v>
      </c>
      <c r="G697" t="s">
        <v>1909</v>
      </c>
      <c r="H697" t="s">
        <v>1915</v>
      </c>
      <c r="I697" s="4">
        <v>63</v>
      </c>
      <c r="J697" s="3">
        <v>252</v>
      </c>
      <c r="K697" s="3">
        <f>Table1[[#This Row],[Quantity Sold]]*Table1[[#This Row],[Unit Price (INR)]]</f>
        <v>15876</v>
      </c>
      <c r="L697" t="s">
        <v>1922</v>
      </c>
    </row>
    <row r="698" spans="1:12" x14ac:dyDescent="0.35">
      <c r="A698" t="s">
        <v>707</v>
      </c>
      <c r="B698" s="5">
        <v>46204</v>
      </c>
      <c r="C698" t="s">
        <v>1217</v>
      </c>
      <c r="D698" t="s">
        <v>1235</v>
      </c>
      <c r="E698" t="s">
        <v>1734</v>
      </c>
      <c r="F698" t="s">
        <v>1900</v>
      </c>
      <c r="G698" t="s">
        <v>1907</v>
      </c>
      <c r="H698" t="s">
        <v>1913</v>
      </c>
      <c r="I698" s="4">
        <v>38</v>
      </c>
      <c r="J698" s="3">
        <v>390</v>
      </c>
      <c r="K698" s="3">
        <f>Table1[[#This Row],[Quantity Sold]]*Table1[[#This Row],[Unit Price (INR)]]</f>
        <v>14820</v>
      </c>
      <c r="L698" t="s">
        <v>1920</v>
      </c>
    </row>
    <row r="699" spans="1:12" x14ac:dyDescent="0.35">
      <c r="A699" t="s">
        <v>708</v>
      </c>
      <c r="B699" s="5">
        <v>46205</v>
      </c>
      <c r="C699" t="s">
        <v>1212</v>
      </c>
      <c r="D699" t="s">
        <v>1229</v>
      </c>
      <c r="E699" t="s">
        <v>1735</v>
      </c>
      <c r="F699" t="s">
        <v>1897</v>
      </c>
      <c r="G699" t="s">
        <v>1909</v>
      </c>
      <c r="H699" t="s">
        <v>1912</v>
      </c>
      <c r="I699" s="4">
        <v>476</v>
      </c>
      <c r="J699" s="3">
        <v>198</v>
      </c>
      <c r="K699" s="3">
        <f>Table1[[#This Row],[Quantity Sold]]*Table1[[#This Row],[Unit Price (INR)]]</f>
        <v>94248</v>
      </c>
      <c r="L699" t="s">
        <v>1923</v>
      </c>
    </row>
    <row r="700" spans="1:12" x14ac:dyDescent="0.35">
      <c r="A700" t="s">
        <v>709</v>
      </c>
      <c r="B700" s="5">
        <v>46206</v>
      </c>
      <c r="C700" t="s">
        <v>1212</v>
      </c>
      <c r="D700" t="s">
        <v>1229</v>
      </c>
      <c r="E700" t="s">
        <v>1660</v>
      </c>
      <c r="F700" t="s">
        <v>1904</v>
      </c>
      <c r="G700" t="s">
        <v>1911</v>
      </c>
      <c r="H700" t="s">
        <v>1912</v>
      </c>
      <c r="I700" s="4">
        <v>362</v>
      </c>
      <c r="J700" s="3">
        <v>451</v>
      </c>
      <c r="K700" s="3">
        <f>Table1[[#This Row],[Quantity Sold]]*Table1[[#This Row],[Unit Price (INR)]]</f>
        <v>163262</v>
      </c>
      <c r="L700" t="s">
        <v>1921</v>
      </c>
    </row>
    <row r="701" spans="1:12" x14ac:dyDescent="0.35">
      <c r="A701" t="s">
        <v>710</v>
      </c>
      <c r="B701" s="5">
        <v>46207</v>
      </c>
      <c r="C701" t="s">
        <v>1213</v>
      </c>
      <c r="D701" t="s">
        <v>1223</v>
      </c>
      <c r="E701" t="s">
        <v>1443</v>
      </c>
      <c r="F701" t="s">
        <v>1901</v>
      </c>
      <c r="G701" t="s">
        <v>1908</v>
      </c>
      <c r="H701" t="s">
        <v>1919</v>
      </c>
      <c r="I701" s="4">
        <v>173</v>
      </c>
      <c r="J701" s="3">
        <v>232</v>
      </c>
      <c r="K701" s="3">
        <f>Table1[[#This Row],[Quantity Sold]]*Table1[[#This Row],[Unit Price (INR)]]</f>
        <v>40136</v>
      </c>
      <c r="L701" t="s">
        <v>1922</v>
      </c>
    </row>
    <row r="702" spans="1:12" x14ac:dyDescent="0.35">
      <c r="A702" t="s">
        <v>711</v>
      </c>
      <c r="B702" s="5">
        <v>46208</v>
      </c>
      <c r="C702" t="s">
        <v>1217</v>
      </c>
      <c r="D702" t="s">
        <v>1246</v>
      </c>
      <c r="E702" t="s">
        <v>1387</v>
      </c>
      <c r="F702" t="s">
        <v>1900</v>
      </c>
      <c r="G702" t="s">
        <v>1909</v>
      </c>
      <c r="H702" t="s">
        <v>1918</v>
      </c>
      <c r="I702" s="4">
        <v>279</v>
      </c>
      <c r="J702" s="3">
        <v>462</v>
      </c>
      <c r="K702" s="3">
        <f>Table1[[#This Row],[Quantity Sold]]*Table1[[#This Row],[Unit Price (INR)]]</f>
        <v>128898</v>
      </c>
      <c r="L702" t="s">
        <v>1920</v>
      </c>
    </row>
    <row r="703" spans="1:12" x14ac:dyDescent="0.35">
      <c r="A703" t="s">
        <v>712</v>
      </c>
      <c r="B703" s="5">
        <v>46209</v>
      </c>
      <c r="C703" t="s">
        <v>1214</v>
      </c>
      <c r="D703" t="s">
        <v>1227</v>
      </c>
      <c r="E703" t="s">
        <v>1538</v>
      </c>
      <c r="F703" t="s">
        <v>1902</v>
      </c>
      <c r="G703" t="s">
        <v>1910</v>
      </c>
      <c r="H703" t="s">
        <v>1915</v>
      </c>
      <c r="I703" s="4">
        <v>343</v>
      </c>
      <c r="J703" s="3">
        <v>201</v>
      </c>
      <c r="K703" s="3">
        <f>Table1[[#This Row],[Quantity Sold]]*Table1[[#This Row],[Unit Price (INR)]]</f>
        <v>68943</v>
      </c>
      <c r="L703" t="s">
        <v>1920</v>
      </c>
    </row>
    <row r="704" spans="1:12" x14ac:dyDescent="0.35">
      <c r="A704" t="s">
        <v>713</v>
      </c>
      <c r="B704" s="5">
        <v>46210</v>
      </c>
      <c r="C704" t="s">
        <v>1212</v>
      </c>
      <c r="D704" t="s">
        <v>1219</v>
      </c>
      <c r="E704" t="s">
        <v>1736</v>
      </c>
      <c r="F704" t="s">
        <v>1899</v>
      </c>
      <c r="G704" t="s">
        <v>1910</v>
      </c>
      <c r="H704" t="s">
        <v>1919</v>
      </c>
      <c r="I704" s="4">
        <v>44</v>
      </c>
      <c r="J704" s="3">
        <v>123</v>
      </c>
      <c r="K704" s="3">
        <f>Table1[[#This Row],[Quantity Sold]]*Table1[[#This Row],[Unit Price (INR)]]</f>
        <v>5412</v>
      </c>
      <c r="L704" t="s">
        <v>1923</v>
      </c>
    </row>
    <row r="705" spans="1:12" x14ac:dyDescent="0.35">
      <c r="A705" t="s">
        <v>714</v>
      </c>
      <c r="B705" s="5">
        <v>46211</v>
      </c>
      <c r="C705" t="s">
        <v>1217</v>
      </c>
      <c r="D705" t="s">
        <v>1235</v>
      </c>
      <c r="E705" t="s">
        <v>1737</v>
      </c>
      <c r="F705" t="s">
        <v>1898</v>
      </c>
      <c r="G705" t="s">
        <v>1907</v>
      </c>
      <c r="H705" t="s">
        <v>1917</v>
      </c>
      <c r="I705" s="4">
        <v>295</v>
      </c>
      <c r="J705" s="3">
        <v>414</v>
      </c>
      <c r="K705" s="3">
        <f>Table1[[#This Row],[Quantity Sold]]*Table1[[#This Row],[Unit Price (INR)]]</f>
        <v>122130</v>
      </c>
      <c r="L705" t="s">
        <v>1920</v>
      </c>
    </row>
    <row r="706" spans="1:12" x14ac:dyDescent="0.35">
      <c r="A706" t="s">
        <v>715</v>
      </c>
      <c r="B706" s="5">
        <v>46212</v>
      </c>
      <c r="C706" t="s">
        <v>1211</v>
      </c>
      <c r="D706" t="s">
        <v>1218</v>
      </c>
      <c r="E706" t="s">
        <v>1738</v>
      </c>
      <c r="F706" t="s">
        <v>1906</v>
      </c>
      <c r="G706" t="s">
        <v>1911</v>
      </c>
      <c r="H706" t="s">
        <v>1915</v>
      </c>
      <c r="I706" s="4">
        <v>357</v>
      </c>
      <c r="J706" s="3">
        <v>450</v>
      </c>
      <c r="K706" s="3">
        <f>Table1[[#This Row],[Quantity Sold]]*Table1[[#This Row],[Unit Price (INR)]]</f>
        <v>160650</v>
      </c>
      <c r="L706" t="s">
        <v>1922</v>
      </c>
    </row>
    <row r="707" spans="1:12" x14ac:dyDescent="0.35">
      <c r="A707" t="s">
        <v>716</v>
      </c>
      <c r="B707" s="5">
        <v>46213</v>
      </c>
      <c r="C707" t="s">
        <v>1212</v>
      </c>
      <c r="D707" t="s">
        <v>1233</v>
      </c>
      <c r="E707" t="s">
        <v>1656</v>
      </c>
      <c r="F707" t="s">
        <v>1906</v>
      </c>
      <c r="G707" t="s">
        <v>1907</v>
      </c>
      <c r="H707" t="s">
        <v>1917</v>
      </c>
      <c r="I707" s="4">
        <v>282</v>
      </c>
      <c r="J707" s="3">
        <v>323</v>
      </c>
      <c r="K707" s="3">
        <f>Table1[[#This Row],[Quantity Sold]]*Table1[[#This Row],[Unit Price (INR)]]</f>
        <v>91086</v>
      </c>
      <c r="L707" t="s">
        <v>1920</v>
      </c>
    </row>
    <row r="708" spans="1:12" x14ac:dyDescent="0.35">
      <c r="A708" t="s">
        <v>717</v>
      </c>
      <c r="B708" s="5">
        <v>46214</v>
      </c>
      <c r="C708" t="s">
        <v>1216</v>
      </c>
      <c r="D708" t="s">
        <v>1230</v>
      </c>
      <c r="E708" t="s">
        <v>1739</v>
      </c>
      <c r="F708" t="s">
        <v>1898</v>
      </c>
      <c r="G708" t="s">
        <v>1907</v>
      </c>
      <c r="H708" t="s">
        <v>1916</v>
      </c>
      <c r="I708" s="4">
        <v>460</v>
      </c>
      <c r="J708" s="3">
        <v>91</v>
      </c>
      <c r="K708" s="3">
        <f>Table1[[#This Row],[Quantity Sold]]*Table1[[#This Row],[Unit Price (INR)]]</f>
        <v>41860</v>
      </c>
      <c r="L708" t="s">
        <v>1920</v>
      </c>
    </row>
    <row r="709" spans="1:12" x14ac:dyDescent="0.35">
      <c r="A709" t="s">
        <v>718</v>
      </c>
      <c r="B709" s="5">
        <v>46215</v>
      </c>
      <c r="C709" t="s">
        <v>1211</v>
      </c>
      <c r="D709" t="s">
        <v>1221</v>
      </c>
      <c r="E709" t="s">
        <v>1740</v>
      </c>
      <c r="F709" t="s">
        <v>1899</v>
      </c>
      <c r="G709" t="s">
        <v>1907</v>
      </c>
      <c r="H709" t="s">
        <v>1914</v>
      </c>
      <c r="I709" s="4">
        <v>217</v>
      </c>
      <c r="J709" s="3">
        <v>261</v>
      </c>
      <c r="K709" s="3">
        <f>Table1[[#This Row],[Quantity Sold]]*Table1[[#This Row],[Unit Price (INR)]]</f>
        <v>56637</v>
      </c>
      <c r="L709" t="s">
        <v>1921</v>
      </c>
    </row>
    <row r="710" spans="1:12" x14ac:dyDescent="0.35">
      <c r="A710" t="s">
        <v>719</v>
      </c>
      <c r="B710" s="5">
        <v>46216</v>
      </c>
      <c r="C710" t="s">
        <v>1212</v>
      </c>
      <c r="D710" t="s">
        <v>1219</v>
      </c>
      <c r="E710" t="s">
        <v>1725</v>
      </c>
      <c r="F710" t="s">
        <v>1897</v>
      </c>
      <c r="G710" t="s">
        <v>1910</v>
      </c>
      <c r="H710" t="s">
        <v>1916</v>
      </c>
      <c r="I710" s="4">
        <v>247</v>
      </c>
      <c r="J710" s="3">
        <v>150</v>
      </c>
      <c r="K710" s="3">
        <f>Table1[[#This Row],[Quantity Sold]]*Table1[[#This Row],[Unit Price (INR)]]</f>
        <v>37050</v>
      </c>
      <c r="L710" t="s">
        <v>1921</v>
      </c>
    </row>
    <row r="711" spans="1:12" x14ac:dyDescent="0.35">
      <c r="A711" t="s">
        <v>720</v>
      </c>
      <c r="B711" s="5">
        <v>46217</v>
      </c>
      <c r="C711" t="s">
        <v>1214</v>
      </c>
      <c r="D711" t="s">
        <v>1226</v>
      </c>
      <c r="E711" t="s">
        <v>1741</v>
      </c>
      <c r="F711" t="s">
        <v>1899</v>
      </c>
      <c r="G711" t="s">
        <v>1910</v>
      </c>
      <c r="H711" t="s">
        <v>1917</v>
      </c>
      <c r="I711" s="4">
        <v>423</v>
      </c>
      <c r="J711" s="3">
        <v>94</v>
      </c>
      <c r="K711" s="3">
        <f>Table1[[#This Row],[Quantity Sold]]*Table1[[#This Row],[Unit Price (INR)]]</f>
        <v>39762</v>
      </c>
      <c r="L711" t="s">
        <v>1922</v>
      </c>
    </row>
    <row r="712" spans="1:12" x14ac:dyDescent="0.35">
      <c r="A712" t="s">
        <v>721</v>
      </c>
      <c r="B712" s="5">
        <v>46218</v>
      </c>
      <c r="C712" t="s">
        <v>1215</v>
      </c>
      <c r="D712" t="s">
        <v>1243</v>
      </c>
      <c r="E712" t="s">
        <v>1422</v>
      </c>
      <c r="F712" t="s">
        <v>1900</v>
      </c>
      <c r="G712" t="s">
        <v>1907</v>
      </c>
      <c r="H712" t="s">
        <v>1912</v>
      </c>
      <c r="I712" s="4">
        <v>102</v>
      </c>
      <c r="J712" s="3">
        <v>131</v>
      </c>
      <c r="K712" s="3">
        <f>Table1[[#This Row],[Quantity Sold]]*Table1[[#This Row],[Unit Price (INR)]]</f>
        <v>13362</v>
      </c>
      <c r="L712" t="s">
        <v>1923</v>
      </c>
    </row>
    <row r="713" spans="1:12" x14ac:dyDescent="0.35">
      <c r="A713" t="s">
        <v>722</v>
      </c>
      <c r="B713" s="5">
        <v>46219</v>
      </c>
      <c r="C713" t="s">
        <v>1211</v>
      </c>
      <c r="D713" t="s">
        <v>1218</v>
      </c>
      <c r="E713" t="s">
        <v>1388</v>
      </c>
      <c r="F713" t="s">
        <v>1899</v>
      </c>
      <c r="G713" t="s">
        <v>1910</v>
      </c>
      <c r="H713" t="s">
        <v>1915</v>
      </c>
      <c r="I713" s="4">
        <v>182</v>
      </c>
      <c r="J713" s="3">
        <v>66</v>
      </c>
      <c r="K713" s="3">
        <f>Table1[[#This Row],[Quantity Sold]]*Table1[[#This Row],[Unit Price (INR)]]</f>
        <v>12012</v>
      </c>
      <c r="L713" t="s">
        <v>1921</v>
      </c>
    </row>
    <row r="714" spans="1:12" x14ac:dyDescent="0.35">
      <c r="A714" t="s">
        <v>723</v>
      </c>
      <c r="B714" s="5">
        <v>46220</v>
      </c>
      <c r="C714" t="s">
        <v>1213</v>
      </c>
      <c r="D714" t="s">
        <v>1220</v>
      </c>
      <c r="E714" t="s">
        <v>1403</v>
      </c>
      <c r="F714" t="s">
        <v>1900</v>
      </c>
      <c r="G714" t="s">
        <v>1911</v>
      </c>
      <c r="H714" t="s">
        <v>1918</v>
      </c>
      <c r="I714" s="4">
        <v>88</v>
      </c>
      <c r="J714" s="3">
        <v>122</v>
      </c>
      <c r="K714" s="3">
        <f>Table1[[#This Row],[Quantity Sold]]*Table1[[#This Row],[Unit Price (INR)]]</f>
        <v>10736</v>
      </c>
      <c r="L714" t="s">
        <v>1923</v>
      </c>
    </row>
    <row r="715" spans="1:12" x14ac:dyDescent="0.35">
      <c r="A715" t="s">
        <v>724</v>
      </c>
      <c r="B715" s="5">
        <v>46221</v>
      </c>
      <c r="C715" t="s">
        <v>1213</v>
      </c>
      <c r="D715" t="s">
        <v>1223</v>
      </c>
      <c r="E715" t="s">
        <v>1742</v>
      </c>
      <c r="F715" t="s">
        <v>1899</v>
      </c>
      <c r="G715" t="s">
        <v>1907</v>
      </c>
      <c r="H715" t="s">
        <v>1913</v>
      </c>
      <c r="I715" s="4">
        <v>119</v>
      </c>
      <c r="J715" s="3">
        <v>63</v>
      </c>
      <c r="K715" s="3">
        <f>Table1[[#This Row],[Quantity Sold]]*Table1[[#This Row],[Unit Price (INR)]]</f>
        <v>7497</v>
      </c>
      <c r="L715" t="s">
        <v>1922</v>
      </c>
    </row>
    <row r="716" spans="1:12" x14ac:dyDescent="0.35">
      <c r="A716" t="s">
        <v>725</v>
      </c>
      <c r="B716" s="5">
        <v>46222</v>
      </c>
      <c r="C716" t="s">
        <v>1214</v>
      </c>
      <c r="D716" t="s">
        <v>1228</v>
      </c>
      <c r="E716" t="s">
        <v>1329</v>
      </c>
      <c r="F716" t="s">
        <v>1897</v>
      </c>
      <c r="G716" t="s">
        <v>1910</v>
      </c>
      <c r="H716" t="s">
        <v>1918</v>
      </c>
      <c r="I716" s="4">
        <v>226</v>
      </c>
      <c r="J716" s="3">
        <v>482</v>
      </c>
      <c r="K716" s="3">
        <f>Table1[[#This Row],[Quantity Sold]]*Table1[[#This Row],[Unit Price (INR)]]</f>
        <v>108932</v>
      </c>
      <c r="L716" t="s">
        <v>1921</v>
      </c>
    </row>
    <row r="717" spans="1:12" x14ac:dyDescent="0.35">
      <c r="A717" t="s">
        <v>726</v>
      </c>
      <c r="B717" s="5">
        <v>46223</v>
      </c>
      <c r="C717" t="s">
        <v>1212</v>
      </c>
      <c r="D717" t="s">
        <v>1233</v>
      </c>
      <c r="E717" t="s">
        <v>1743</v>
      </c>
      <c r="F717" t="s">
        <v>1897</v>
      </c>
      <c r="G717" t="s">
        <v>1909</v>
      </c>
      <c r="H717" t="s">
        <v>1915</v>
      </c>
      <c r="I717" s="4">
        <v>444</v>
      </c>
      <c r="J717" s="3">
        <v>206</v>
      </c>
      <c r="K717" s="3">
        <f>Table1[[#This Row],[Quantity Sold]]*Table1[[#This Row],[Unit Price (INR)]]</f>
        <v>91464</v>
      </c>
      <c r="L717" t="s">
        <v>1923</v>
      </c>
    </row>
    <row r="718" spans="1:12" x14ac:dyDescent="0.35">
      <c r="A718" t="s">
        <v>727</v>
      </c>
      <c r="B718" s="5">
        <v>46224</v>
      </c>
      <c r="C718" t="s">
        <v>1217</v>
      </c>
      <c r="D718" t="s">
        <v>1235</v>
      </c>
      <c r="E718" t="s">
        <v>1744</v>
      </c>
      <c r="F718" t="s">
        <v>1901</v>
      </c>
      <c r="G718" t="s">
        <v>1907</v>
      </c>
      <c r="H718" t="s">
        <v>1916</v>
      </c>
      <c r="I718" s="4">
        <v>367</v>
      </c>
      <c r="J718" s="3">
        <v>272</v>
      </c>
      <c r="K718" s="3">
        <f>Table1[[#This Row],[Quantity Sold]]*Table1[[#This Row],[Unit Price (INR)]]</f>
        <v>99824</v>
      </c>
      <c r="L718" t="s">
        <v>1921</v>
      </c>
    </row>
    <row r="719" spans="1:12" x14ac:dyDescent="0.35">
      <c r="A719" t="s">
        <v>728</v>
      </c>
      <c r="B719" s="5">
        <v>46225</v>
      </c>
      <c r="C719" t="s">
        <v>1212</v>
      </c>
      <c r="D719" t="s">
        <v>1219</v>
      </c>
      <c r="E719" t="s">
        <v>1745</v>
      </c>
      <c r="F719" t="s">
        <v>1898</v>
      </c>
      <c r="G719" t="s">
        <v>1907</v>
      </c>
      <c r="H719" t="s">
        <v>1913</v>
      </c>
      <c r="I719" s="4">
        <v>115</v>
      </c>
      <c r="J719" s="3">
        <v>181</v>
      </c>
      <c r="K719" s="3">
        <f>Table1[[#This Row],[Quantity Sold]]*Table1[[#This Row],[Unit Price (INR)]]</f>
        <v>20815</v>
      </c>
      <c r="L719" t="s">
        <v>1922</v>
      </c>
    </row>
    <row r="720" spans="1:12" x14ac:dyDescent="0.35">
      <c r="A720" t="s">
        <v>729</v>
      </c>
      <c r="B720" s="5">
        <v>46226</v>
      </c>
      <c r="C720" t="s">
        <v>1214</v>
      </c>
      <c r="D720" t="s">
        <v>1227</v>
      </c>
      <c r="E720" t="s">
        <v>1603</v>
      </c>
      <c r="F720" t="s">
        <v>1897</v>
      </c>
      <c r="G720" t="s">
        <v>1911</v>
      </c>
      <c r="H720" t="s">
        <v>1915</v>
      </c>
      <c r="I720" s="4">
        <v>56</v>
      </c>
      <c r="J720" s="3">
        <v>387</v>
      </c>
      <c r="K720" s="3">
        <f>Table1[[#This Row],[Quantity Sold]]*Table1[[#This Row],[Unit Price (INR)]]</f>
        <v>21672</v>
      </c>
      <c r="L720" t="s">
        <v>1922</v>
      </c>
    </row>
    <row r="721" spans="1:12" x14ac:dyDescent="0.35">
      <c r="A721" t="s">
        <v>730</v>
      </c>
      <c r="B721" s="5">
        <v>46227</v>
      </c>
      <c r="C721" t="s">
        <v>1213</v>
      </c>
      <c r="D721" t="s">
        <v>1220</v>
      </c>
      <c r="E721" t="s">
        <v>1553</v>
      </c>
      <c r="F721" t="s">
        <v>1900</v>
      </c>
      <c r="G721" t="s">
        <v>1908</v>
      </c>
      <c r="H721" t="s">
        <v>1917</v>
      </c>
      <c r="I721" s="4">
        <v>190</v>
      </c>
      <c r="J721" s="3">
        <v>453</v>
      </c>
      <c r="K721" s="3">
        <f>Table1[[#This Row],[Quantity Sold]]*Table1[[#This Row],[Unit Price (INR)]]</f>
        <v>86070</v>
      </c>
      <c r="L721" t="s">
        <v>1921</v>
      </c>
    </row>
    <row r="722" spans="1:12" x14ac:dyDescent="0.35">
      <c r="A722" t="s">
        <v>731</v>
      </c>
      <c r="B722" s="5">
        <v>46228</v>
      </c>
      <c r="C722" t="s">
        <v>1212</v>
      </c>
      <c r="D722" t="s">
        <v>1233</v>
      </c>
      <c r="E722" t="s">
        <v>1615</v>
      </c>
      <c r="F722" t="s">
        <v>1897</v>
      </c>
      <c r="G722" t="s">
        <v>1908</v>
      </c>
      <c r="H722" t="s">
        <v>1912</v>
      </c>
      <c r="I722" s="4">
        <v>73</v>
      </c>
      <c r="J722" s="3">
        <v>425</v>
      </c>
      <c r="K722" s="3">
        <f>Table1[[#This Row],[Quantity Sold]]*Table1[[#This Row],[Unit Price (INR)]]</f>
        <v>31025</v>
      </c>
      <c r="L722" t="s">
        <v>1923</v>
      </c>
    </row>
    <row r="723" spans="1:12" x14ac:dyDescent="0.35">
      <c r="A723" t="s">
        <v>732</v>
      </c>
      <c r="B723" s="5">
        <v>46229</v>
      </c>
      <c r="C723" t="s">
        <v>1213</v>
      </c>
      <c r="D723" t="s">
        <v>1234</v>
      </c>
      <c r="E723" t="s">
        <v>1695</v>
      </c>
      <c r="F723" t="s">
        <v>1901</v>
      </c>
      <c r="G723" t="s">
        <v>1911</v>
      </c>
      <c r="H723" t="s">
        <v>1918</v>
      </c>
      <c r="I723" s="4">
        <v>255</v>
      </c>
      <c r="J723" s="3">
        <v>425</v>
      </c>
      <c r="K723" s="3">
        <f>Table1[[#This Row],[Quantity Sold]]*Table1[[#This Row],[Unit Price (INR)]]</f>
        <v>108375</v>
      </c>
      <c r="L723" t="s">
        <v>1920</v>
      </c>
    </row>
    <row r="724" spans="1:12" x14ac:dyDescent="0.35">
      <c r="A724" t="s">
        <v>733</v>
      </c>
      <c r="B724" s="5">
        <v>46230</v>
      </c>
      <c r="C724" t="s">
        <v>1211</v>
      </c>
      <c r="D724" t="s">
        <v>1221</v>
      </c>
      <c r="E724" t="s">
        <v>1746</v>
      </c>
      <c r="F724" t="s">
        <v>1906</v>
      </c>
      <c r="G724" t="s">
        <v>1911</v>
      </c>
      <c r="H724" t="s">
        <v>1917</v>
      </c>
      <c r="I724" s="4">
        <v>253</v>
      </c>
      <c r="J724" s="3">
        <v>96</v>
      </c>
      <c r="K724" s="3">
        <f>Table1[[#This Row],[Quantity Sold]]*Table1[[#This Row],[Unit Price (INR)]]</f>
        <v>24288</v>
      </c>
      <c r="L724" t="s">
        <v>1920</v>
      </c>
    </row>
    <row r="725" spans="1:12" x14ac:dyDescent="0.35">
      <c r="A725" t="s">
        <v>734</v>
      </c>
      <c r="B725" s="5">
        <v>46231</v>
      </c>
      <c r="C725" t="s">
        <v>1217</v>
      </c>
      <c r="D725" t="s">
        <v>1237</v>
      </c>
      <c r="E725" t="s">
        <v>1747</v>
      </c>
      <c r="F725" t="s">
        <v>1900</v>
      </c>
      <c r="G725" t="s">
        <v>1911</v>
      </c>
      <c r="H725" t="s">
        <v>1913</v>
      </c>
      <c r="I725" s="4">
        <v>431</v>
      </c>
      <c r="J725" s="3">
        <v>156</v>
      </c>
      <c r="K725" s="3">
        <f>Table1[[#This Row],[Quantity Sold]]*Table1[[#This Row],[Unit Price (INR)]]</f>
        <v>67236</v>
      </c>
      <c r="L725" t="s">
        <v>1921</v>
      </c>
    </row>
    <row r="726" spans="1:12" x14ac:dyDescent="0.35">
      <c r="A726" t="s">
        <v>735</v>
      </c>
      <c r="B726" s="5">
        <v>46232</v>
      </c>
      <c r="C726" t="s">
        <v>1211</v>
      </c>
      <c r="D726" t="s">
        <v>1218</v>
      </c>
      <c r="E726" t="s">
        <v>1467</v>
      </c>
      <c r="F726" t="s">
        <v>1901</v>
      </c>
      <c r="G726" t="s">
        <v>1908</v>
      </c>
      <c r="H726" t="s">
        <v>1913</v>
      </c>
      <c r="I726" s="4">
        <v>329</v>
      </c>
      <c r="J726" s="3">
        <v>157</v>
      </c>
      <c r="K726" s="3">
        <f>Table1[[#This Row],[Quantity Sold]]*Table1[[#This Row],[Unit Price (INR)]]</f>
        <v>51653</v>
      </c>
      <c r="L726" t="s">
        <v>1923</v>
      </c>
    </row>
    <row r="727" spans="1:12" x14ac:dyDescent="0.35">
      <c r="A727" t="s">
        <v>736</v>
      </c>
      <c r="B727" s="5">
        <v>46233</v>
      </c>
      <c r="C727" t="s">
        <v>1213</v>
      </c>
      <c r="D727" t="s">
        <v>1220</v>
      </c>
      <c r="E727" t="s">
        <v>1748</v>
      </c>
      <c r="F727" t="s">
        <v>1905</v>
      </c>
      <c r="G727" t="s">
        <v>1911</v>
      </c>
      <c r="H727" t="s">
        <v>1918</v>
      </c>
      <c r="I727" s="4">
        <v>96</v>
      </c>
      <c r="J727" s="3">
        <v>314</v>
      </c>
      <c r="K727" s="3">
        <f>Table1[[#This Row],[Quantity Sold]]*Table1[[#This Row],[Unit Price (INR)]]</f>
        <v>30144</v>
      </c>
      <c r="L727" t="s">
        <v>1920</v>
      </c>
    </row>
    <row r="728" spans="1:12" x14ac:dyDescent="0.35">
      <c r="A728" t="s">
        <v>737</v>
      </c>
      <c r="B728" s="5">
        <v>46234</v>
      </c>
      <c r="C728" t="s">
        <v>1213</v>
      </c>
      <c r="D728" t="s">
        <v>1234</v>
      </c>
      <c r="E728" t="s">
        <v>1505</v>
      </c>
      <c r="F728" t="s">
        <v>1905</v>
      </c>
      <c r="G728" t="s">
        <v>1910</v>
      </c>
      <c r="H728" t="s">
        <v>1917</v>
      </c>
      <c r="I728" s="4">
        <v>226</v>
      </c>
      <c r="J728" s="3">
        <v>254</v>
      </c>
      <c r="K728" s="3">
        <f>Table1[[#This Row],[Quantity Sold]]*Table1[[#This Row],[Unit Price (INR)]]</f>
        <v>57404</v>
      </c>
      <c r="L728" t="s">
        <v>1922</v>
      </c>
    </row>
    <row r="729" spans="1:12" x14ac:dyDescent="0.35">
      <c r="A729" t="s">
        <v>738</v>
      </c>
      <c r="B729" s="5">
        <v>46235</v>
      </c>
      <c r="C729" t="s">
        <v>1215</v>
      </c>
      <c r="D729" t="s">
        <v>1243</v>
      </c>
      <c r="E729" t="s">
        <v>1749</v>
      </c>
      <c r="F729" t="s">
        <v>1902</v>
      </c>
      <c r="G729" t="s">
        <v>1907</v>
      </c>
      <c r="H729" t="s">
        <v>1919</v>
      </c>
      <c r="I729" s="4">
        <v>499</v>
      </c>
      <c r="J729" s="3">
        <v>128</v>
      </c>
      <c r="K729" s="3">
        <f>Table1[[#This Row],[Quantity Sold]]*Table1[[#This Row],[Unit Price (INR)]]</f>
        <v>63872</v>
      </c>
      <c r="L729" t="s">
        <v>1923</v>
      </c>
    </row>
    <row r="730" spans="1:12" x14ac:dyDescent="0.35">
      <c r="A730" t="s">
        <v>739</v>
      </c>
      <c r="B730" s="5">
        <v>46236</v>
      </c>
      <c r="C730" t="s">
        <v>1215</v>
      </c>
      <c r="D730" t="s">
        <v>1231</v>
      </c>
      <c r="E730" t="s">
        <v>1513</v>
      </c>
      <c r="F730" t="s">
        <v>1899</v>
      </c>
      <c r="G730" t="s">
        <v>1907</v>
      </c>
      <c r="H730" t="s">
        <v>1917</v>
      </c>
      <c r="I730" s="4">
        <v>16</v>
      </c>
      <c r="J730" s="3">
        <v>204</v>
      </c>
      <c r="K730" s="3">
        <f>Table1[[#This Row],[Quantity Sold]]*Table1[[#This Row],[Unit Price (INR)]]</f>
        <v>3264</v>
      </c>
      <c r="L730" t="s">
        <v>1920</v>
      </c>
    </row>
    <row r="731" spans="1:12" x14ac:dyDescent="0.35">
      <c r="A731" t="s">
        <v>740</v>
      </c>
      <c r="B731" s="5">
        <v>46237</v>
      </c>
      <c r="C731" t="s">
        <v>1211</v>
      </c>
      <c r="D731" t="s">
        <v>1224</v>
      </c>
      <c r="E731" t="s">
        <v>1750</v>
      </c>
      <c r="F731" t="s">
        <v>1898</v>
      </c>
      <c r="G731" t="s">
        <v>1909</v>
      </c>
      <c r="H731" t="s">
        <v>1913</v>
      </c>
      <c r="I731" s="4">
        <v>287</v>
      </c>
      <c r="J731" s="3">
        <v>320</v>
      </c>
      <c r="K731" s="3">
        <f>Table1[[#This Row],[Quantity Sold]]*Table1[[#This Row],[Unit Price (INR)]]</f>
        <v>91840</v>
      </c>
      <c r="L731" t="s">
        <v>1923</v>
      </c>
    </row>
    <row r="732" spans="1:12" x14ac:dyDescent="0.35">
      <c r="A732" t="s">
        <v>741</v>
      </c>
      <c r="B732" s="5">
        <v>46238</v>
      </c>
      <c r="C732" t="s">
        <v>1216</v>
      </c>
      <c r="D732" t="s">
        <v>1232</v>
      </c>
      <c r="E732" t="s">
        <v>1467</v>
      </c>
      <c r="F732" t="s">
        <v>1903</v>
      </c>
      <c r="G732" t="s">
        <v>1909</v>
      </c>
      <c r="H732" t="s">
        <v>1917</v>
      </c>
      <c r="I732" s="4">
        <v>346</v>
      </c>
      <c r="J732" s="3">
        <v>296</v>
      </c>
      <c r="K732" s="3">
        <f>Table1[[#This Row],[Quantity Sold]]*Table1[[#This Row],[Unit Price (INR)]]</f>
        <v>102416</v>
      </c>
      <c r="L732" t="s">
        <v>1921</v>
      </c>
    </row>
    <row r="733" spans="1:12" x14ac:dyDescent="0.35">
      <c r="A733" t="s">
        <v>742</v>
      </c>
      <c r="B733" s="5">
        <v>46239</v>
      </c>
      <c r="C733" t="s">
        <v>1211</v>
      </c>
      <c r="D733" t="s">
        <v>1218</v>
      </c>
      <c r="E733" t="s">
        <v>1751</v>
      </c>
      <c r="F733" t="s">
        <v>1904</v>
      </c>
      <c r="G733" t="s">
        <v>1907</v>
      </c>
      <c r="H733" t="s">
        <v>1912</v>
      </c>
      <c r="I733" s="4">
        <v>219</v>
      </c>
      <c r="J733" s="3">
        <v>68</v>
      </c>
      <c r="K733" s="3">
        <f>Table1[[#This Row],[Quantity Sold]]*Table1[[#This Row],[Unit Price (INR)]]</f>
        <v>14892</v>
      </c>
      <c r="L733" t="s">
        <v>1923</v>
      </c>
    </row>
    <row r="734" spans="1:12" x14ac:dyDescent="0.35">
      <c r="A734" t="s">
        <v>743</v>
      </c>
      <c r="B734" s="5">
        <v>46240</v>
      </c>
      <c r="C734" t="s">
        <v>1215</v>
      </c>
      <c r="D734" t="s">
        <v>1225</v>
      </c>
      <c r="E734" t="s">
        <v>1437</v>
      </c>
      <c r="F734" t="s">
        <v>1901</v>
      </c>
      <c r="G734" t="s">
        <v>1910</v>
      </c>
      <c r="H734" t="s">
        <v>1915</v>
      </c>
      <c r="I734" s="4">
        <v>178</v>
      </c>
      <c r="J734" s="3">
        <v>395</v>
      </c>
      <c r="K734" s="3">
        <f>Table1[[#This Row],[Quantity Sold]]*Table1[[#This Row],[Unit Price (INR)]]</f>
        <v>70310</v>
      </c>
      <c r="L734" t="s">
        <v>1920</v>
      </c>
    </row>
    <row r="735" spans="1:12" x14ac:dyDescent="0.35">
      <c r="A735" t="s">
        <v>744</v>
      </c>
      <c r="B735" s="5">
        <v>46241</v>
      </c>
      <c r="C735" t="s">
        <v>1213</v>
      </c>
      <c r="D735" t="s">
        <v>1234</v>
      </c>
      <c r="E735" t="s">
        <v>1702</v>
      </c>
      <c r="F735" t="s">
        <v>1906</v>
      </c>
      <c r="G735" t="s">
        <v>1908</v>
      </c>
      <c r="H735" t="s">
        <v>1916</v>
      </c>
      <c r="I735" s="4">
        <v>339</v>
      </c>
      <c r="J735" s="3">
        <v>485</v>
      </c>
      <c r="K735" s="3">
        <f>Table1[[#This Row],[Quantity Sold]]*Table1[[#This Row],[Unit Price (INR)]]</f>
        <v>164415</v>
      </c>
      <c r="L735" t="s">
        <v>1921</v>
      </c>
    </row>
    <row r="736" spans="1:12" x14ac:dyDescent="0.35">
      <c r="A736" t="s">
        <v>745</v>
      </c>
      <c r="B736" s="5">
        <v>46242</v>
      </c>
      <c r="C736" t="s">
        <v>1214</v>
      </c>
      <c r="D736" t="s">
        <v>1222</v>
      </c>
      <c r="E736" t="s">
        <v>1752</v>
      </c>
      <c r="F736" t="s">
        <v>1904</v>
      </c>
      <c r="G736" t="s">
        <v>1908</v>
      </c>
      <c r="H736" t="s">
        <v>1912</v>
      </c>
      <c r="I736" s="4">
        <v>147</v>
      </c>
      <c r="J736" s="3">
        <v>75</v>
      </c>
      <c r="K736" s="3">
        <f>Table1[[#This Row],[Quantity Sold]]*Table1[[#This Row],[Unit Price (INR)]]</f>
        <v>11025</v>
      </c>
      <c r="L736" t="s">
        <v>1923</v>
      </c>
    </row>
    <row r="737" spans="1:12" x14ac:dyDescent="0.35">
      <c r="A737" t="s">
        <v>746</v>
      </c>
      <c r="B737" s="5">
        <v>46243</v>
      </c>
      <c r="C737" t="s">
        <v>1211</v>
      </c>
      <c r="D737" t="s">
        <v>1224</v>
      </c>
      <c r="E737" t="s">
        <v>1403</v>
      </c>
      <c r="F737" t="s">
        <v>1906</v>
      </c>
      <c r="G737" t="s">
        <v>1910</v>
      </c>
      <c r="H737" t="s">
        <v>1919</v>
      </c>
      <c r="I737" s="4">
        <v>450</v>
      </c>
      <c r="J737" s="3">
        <v>266</v>
      </c>
      <c r="K737" s="3">
        <f>Table1[[#This Row],[Quantity Sold]]*Table1[[#This Row],[Unit Price (INR)]]</f>
        <v>119700</v>
      </c>
      <c r="L737" t="s">
        <v>1922</v>
      </c>
    </row>
    <row r="738" spans="1:12" x14ac:dyDescent="0.35">
      <c r="A738" t="s">
        <v>747</v>
      </c>
      <c r="B738" s="5">
        <v>46244</v>
      </c>
      <c r="C738" t="s">
        <v>1213</v>
      </c>
      <c r="D738" t="s">
        <v>1220</v>
      </c>
      <c r="E738" t="s">
        <v>1753</v>
      </c>
      <c r="F738" t="s">
        <v>1904</v>
      </c>
      <c r="G738" t="s">
        <v>1908</v>
      </c>
      <c r="H738" t="s">
        <v>1914</v>
      </c>
      <c r="I738" s="4">
        <v>400</v>
      </c>
      <c r="J738" s="3">
        <v>203</v>
      </c>
      <c r="K738" s="3">
        <f>Table1[[#This Row],[Quantity Sold]]*Table1[[#This Row],[Unit Price (INR)]]</f>
        <v>81200</v>
      </c>
      <c r="L738" t="s">
        <v>1920</v>
      </c>
    </row>
    <row r="739" spans="1:12" x14ac:dyDescent="0.35">
      <c r="A739" t="s">
        <v>748</v>
      </c>
      <c r="B739" s="5">
        <v>46245</v>
      </c>
      <c r="C739" t="s">
        <v>1214</v>
      </c>
      <c r="D739" t="s">
        <v>1227</v>
      </c>
      <c r="E739" t="s">
        <v>1754</v>
      </c>
      <c r="F739" t="s">
        <v>1901</v>
      </c>
      <c r="G739" t="s">
        <v>1911</v>
      </c>
      <c r="H739" t="s">
        <v>1915</v>
      </c>
      <c r="I739" s="4">
        <v>390</v>
      </c>
      <c r="J739" s="3">
        <v>203</v>
      </c>
      <c r="K739" s="3">
        <f>Table1[[#This Row],[Quantity Sold]]*Table1[[#This Row],[Unit Price (INR)]]</f>
        <v>79170</v>
      </c>
      <c r="L739" t="s">
        <v>1921</v>
      </c>
    </row>
    <row r="740" spans="1:12" x14ac:dyDescent="0.35">
      <c r="A740" t="s">
        <v>749</v>
      </c>
      <c r="B740" s="5">
        <v>46246</v>
      </c>
      <c r="C740" t="s">
        <v>1214</v>
      </c>
      <c r="D740" t="s">
        <v>1222</v>
      </c>
      <c r="E740" t="s">
        <v>1256</v>
      </c>
      <c r="F740" t="s">
        <v>1903</v>
      </c>
      <c r="G740" t="s">
        <v>1907</v>
      </c>
      <c r="H740" t="s">
        <v>1916</v>
      </c>
      <c r="I740" s="4">
        <v>315</v>
      </c>
      <c r="J740" s="3">
        <v>223</v>
      </c>
      <c r="K740" s="3">
        <f>Table1[[#This Row],[Quantity Sold]]*Table1[[#This Row],[Unit Price (INR)]]</f>
        <v>70245</v>
      </c>
      <c r="L740" t="s">
        <v>1923</v>
      </c>
    </row>
    <row r="741" spans="1:12" x14ac:dyDescent="0.35">
      <c r="A741" t="s">
        <v>750</v>
      </c>
      <c r="B741" s="5">
        <v>46247</v>
      </c>
      <c r="C741" t="s">
        <v>1215</v>
      </c>
      <c r="D741" t="s">
        <v>1236</v>
      </c>
      <c r="E741" t="s">
        <v>1755</v>
      </c>
      <c r="F741" t="s">
        <v>1904</v>
      </c>
      <c r="G741" t="s">
        <v>1907</v>
      </c>
      <c r="H741" t="s">
        <v>1914</v>
      </c>
      <c r="I741" s="4">
        <v>239</v>
      </c>
      <c r="J741" s="3">
        <v>141</v>
      </c>
      <c r="K741" s="3">
        <f>Table1[[#This Row],[Quantity Sold]]*Table1[[#This Row],[Unit Price (INR)]]</f>
        <v>33699</v>
      </c>
      <c r="L741" t="s">
        <v>1922</v>
      </c>
    </row>
    <row r="742" spans="1:12" x14ac:dyDescent="0.35">
      <c r="A742" t="s">
        <v>751</v>
      </c>
      <c r="B742" s="5">
        <v>46248</v>
      </c>
      <c r="C742" t="s">
        <v>1211</v>
      </c>
      <c r="D742" t="s">
        <v>1218</v>
      </c>
      <c r="E742" t="s">
        <v>1756</v>
      </c>
      <c r="F742" t="s">
        <v>1901</v>
      </c>
      <c r="G742" t="s">
        <v>1910</v>
      </c>
      <c r="H742" t="s">
        <v>1918</v>
      </c>
      <c r="I742" s="4">
        <v>484</v>
      </c>
      <c r="J742" s="3">
        <v>482</v>
      </c>
      <c r="K742" s="3">
        <f>Table1[[#This Row],[Quantity Sold]]*Table1[[#This Row],[Unit Price (INR)]]</f>
        <v>233288</v>
      </c>
      <c r="L742" t="s">
        <v>1920</v>
      </c>
    </row>
    <row r="743" spans="1:12" x14ac:dyDescent="0.35">
      <c r="A743" t="s">
        <v>752</v>
      </c>
      <c r="B743" s="5">
        <v>46249</v>
      </c>
      <c r="C743" t="s">
        <v>1212</v>
      </c>
      <c r="D743" t="s">
        <v>1233</v>
      </c>
      <c r="E743" t="s">
        <v>1673</v>
      </c>
      <c r="F743" t="s">
        <v>1897</v>
      </c>
      <c r="G743" t="s">
        <v>1908</v>
      </c>
      <c r="H743" t="s">
        <v>1914</v>
      </c>
      <c r="I743" s="4">
        <v>317</v>
      </c>
      <c r="J743" s="3">
        <v>387</v>
      </c>
      <c r="K743" s="3">
        <f>Table1[[#This Row],[Quantity Sold]]*Table1[[#This Row],[Unit Price (INR)]]</f>
        <v>122679</v>
      </c>
      <c r="L743" t="s">
        <v>1922</v>
      </c>
    </row>
    <row r="744" spans="1:12" x14ac:dyDescent="0.35">
      <c r="A744" t="s">
        <v>753</v>
      </c>
      <c r="B744" s="5">
        <v>46250</v>
      </c>
      <c r="C744" t="s">
        <v>1217</v>
      </c>
      <c r="D744" t="s">
        <v>1238</v>
      </c>
      <c r="E744" t="s">
        <v>1757</v>
      </c>
      <c r="F744" t="s">
        <v>1903</v>
      </c>
      <c r="G744" t="s">
        <v>1909</v>
      </c>
      <c r="H744" t="s">
        <v>1915</v>
      </c>
      <c r="I744" s="4">
        <v>170</v>
      </c>
      <c r="J744" s="3">
        <v>230</v>
      </c>
      <c r="K744" s="3">
        <f>Table1[[#This Row],[Quantity Sold]]*Table1[[#This Row],[Unit Price (INR)]]</f>
        <v>39100</v>
      </c>
      <c r="L744" t="s">
        <v>1923</v>
      </c>
    </row>
    <row r="745" spans="1:12" x14ac:dyDescent="0.35">
      <c r="A745" t="s">
        <v>754</v>
      </c>
      <c r="B745" s="5">
        <v>46251</v>
      </c>
      <c r="C745" t="s">
        <v>1215</v>
      </c>
      <c r="D745" t="s">
        <v>1231</v>
      </c>
      <c r="E745" t="s">
        <v>1758</v>
      </c>
      <c r="F745" t="s">
        <v>1900</v>
      </c>
      <c r="G745" t="s">
        <v>1909</v>
      </c>
      <c r="H745" t="s">
        <v>1917</v>
      </c>
      <c r="I745" s="4">
        <v>10</v>
      </c>
      <c r="J745" s="3">
        <v>180</v>
      </c>
      <c r="K745" s="3">
        <f>Table1[[#This Row],[Quantity Sold]]*Table1[[#This Row],[Unit Price (INR)]]</f>
        <v>1800</v>
      </c>
      <c r="L745" t="s">
        <v>1923</v>
      </c>
    </row>
    <row r="746" spans="1:12" x14ac:dyDescent="0.35">
      <c r="A746" t="s">
        <v>755</v>
      </c>
      <c r="B746" s="5">
        <v>46252</v>
      </c>
      <c r="C746" t="s">
        <v>1215</v>
      </c>
      <c r="D746" t="s">
        <v>1225</v>
      </c>
      <c r="E746" t="s">
        <v>1759</v>
      </c>
      <c r="F746" t="s">
        <v>1906</v>
      </c>
      <c r="G746" t="s">
        <v>1908</v>
      </c>
      <c r="H746" t="s">
        <v>1915</v>
      </c>
      <c r="I746" s="4">
        <v>245</v>
      </c>
      <c r="J746" s="3">
        <v>499</v>
      </c>
      <c r="K746" s="3">
        <f>Table1[[#This Row],[Quantity Sold]]*Table1[[#This Row],[Unit Price (INR)]]</f>
        <v>122255</v>
      </c>
      <c r="L746" t="s">
        <v>1921</v>
      </c>
    </row>
    <row r="747" spans="1:12" x14ac:dyDescent="0.35">
      <c r="A747" t="s">
        <v>756</v>
      </c>
      <c r="B747" s="5">
        <v>46253</v>
      </c>
      <c r="C747" t="s">
        <v>1212</v>
      </c>
      <c r="D747" t="s">
        <v>1233</v>
      </c>
      <c r="E747" t="s">
        <v>1587</v>
      </c>
      <c r="F747" t="s">
        <v>1905</v>
      </c>
      <c r="G747" t="s">
        <v>1909</v>
      </c>
      <c r="H747" t="s">
        <v>1912</v>
      </c>
      <c r="I747" s="4">
        <v>446</v>
      </c>
      <c r="J747" s="3">
        <v>347</v>
      </c>
      <c r="K747" s="3">
        <f>Table1[[#This Row],[Quantity Sold]]*Table1[[#This Row],[Unit Price (INR)]]</f>
        <v>154762</v>
      </c>
      <c r="L747" t="s">
        <v>1922</v>
      </c>
    </row>
    <row r="748" spans="1:12" x14ac:dyDescent="0.35">
      <c r="A748" t="s">
        <v>757</v>
      </c>
      <c r="B748" s="5">
        <v>46254</v>
      </c>
      <c r="C748" t="s">
        <v>1217</v>
      </c>
      <c r="D748" t="s">
        <v>1245</v>
      </c>
      <c r="E748" t="s">
        <v>1534</v>
      </c>
      <c r="F748" t="s">
        <v>1899</v>
      </c>
      <c r="G748" t="s">
        <v>1910</v>
      </c>
      <c r="H748" t="s">
        <v>1914</v>
      </c>
      <c r="I748" s="4">
        <v>197</v>
      </c>
      <c r="J748" s="3">
        <v>324</v>
      </c>
      <c r="K748" s="3">
        <f>Table1[[#This Row],[Quantity Sold]]*Table1[[#This Row],[Unit Price (INR)]]</f>
        <v>63828</v>
      </c>
      <c r="L748" t="s">
        <v>1921</v>
      </c>
    </row>
    <row r="749" spans="1:12" x14ac:dyDescent="0.35">
      <c r="A749" t="s">
        <v>758</v>
      </c>
      <c r="B749" s="5">
        <v>46255</v>
      </c>
      <c r="C749" t="s">
        <v>1213</v>
      </c>
      <c r="D749" t="s">
        <v>1220</v>
      </c>
      <c r="E749" t="s">
        <v>1416</v>
      </c>
      <c r="F749" t="s">
        <v>1905</v>
      </c>
      <c r="G749" t="s">
        <v>1910</v>
      </c>
      <c r="H749" t="s">
        <v>1913</v>
      </c>
      <c r="I749" s="4">
        <v>427</v>
      </c>
      <c r="J749" s="3">
        <v>322</v>
      </c>
      <c r="K749" s="3">
        <f>Table1[[#This Row],[Quantity Sold]]*Table1[[#This Row],[Unit Price (INR)]]</f>
        <v>137494</v>
      </c>
      <c r="L749" t="s">
        <v>1920</v>
      </c>
    </row>
    <row r="750" spans="1:12" x14ac:dyDescent="0.35">
      <c r="A750" t="s">
        <v>759</v>
      </c>
      <c r="B750" s="5">
        <v>46256</v>
      </c>
      <c r="C750" t="s">
        <v>1216</v>
      </c>
      <c r="D750" t="s">
        <v>1241</v>
      </c>
      <c r="E750" t="s">
        <v>1650</v>
      </c>
      <c r="F750" t="s">
        <v>1903</v>
      </c>
      <c r="G750" t="s">
        <v>1908</v>
      </c>
      <c r="H750" t="s">
        <v>1916</v>
      </c>
      <c r="I750" s="4">
        <v>13</v>
      </c>
      <c r="J750" s="3">
        <v>466</v>
      </c>
      <c r="K750" s="3">
        <f>Table1[[#This Row],[Quantity Sold]]*Table1[[#This Row],[Unit Price (INR)]]</f>
        <v>6058</v>
      </c>
      <c r="L750" t="s">
        <v>1921</v>
      </c>
    </row>
    <row r="751" spans="1:12" x14ac:dyDescent="0.35">
      <c r="A751" t="s">
        <v>760</v>
      </c>
      <c r="B751" s="5">
        <v>46257</v>
      </c>
      <c r="C751" t="s">
        <v>1211</v>
      </c>
      <c r="D751" t="s">
        <v>1221</v>
      </c>
      <c r="E751" t="s">
        <v>1600</v>
      </c>
      <c r="F751" t="s">
        <v>1900</v>
      </c>
      <c r="G751" t="s">
        <v>1909</v>
      </c>
      <c r="H751" t="s">
        <v>1916</v>
      </c>
      <c r="I751" s="4">
        <v>410</v>
      </c>
      <c r="J751" s="3">
        <v>125</v>
      </c>
      <c r="K751" s="3">
        <f>Table1[[#This Row],[Quantity Sold]]*Table1[[#This Row],[Unit Price (INR)]]</f>
        <v>51250</v>
      </c>
      <c r="L751" t="s">
        <v>1920</v>
      </c>
    </row>
    <row r="752" spans="1:12" x14ac:dyDescent="0.35">
      <c r="A752" t="s">
        <v>761</v>
      </c>
      <c r="B752" s="5">
        <v>46258</v>
      </c>
      <c r="C752" t="s">
        <v>1216</v>
      </c>
      <c r="D752" t="s">
        <v>1230</v>
      </c>
      <c r="E752" t="s">
        <v>1760</v>
      </c>
      <c r="F752" t="s">
        <v>1906</v>
      </c>
      <c r="G752" t="s">
        <v>1910</v>
      </c>
      <c r="H752" t="s">
        <v>1914</v>
      </c>
      <c r="I752" s="4">
        <v>141</v>
      </c>
      <c r="J752" s="3">
        <v>226</v>
      </c>
      <c r="K752" s="3">
        <f>Table1[[#This Row],[Quantity Sold]]*Table1[[#This Row],[Unit Price (INR)]]</f>
        <v>31866</v>
      </c>
      <c r="L752" t="s">
        <v>1923</v>
      </c>
    </row>
    <row r="753" spans="1:12" x14ac:dyDescent="0.35">
      <c r="A753" t="s">
        <v>762</v>
      </c>
      <c r="B753" s="5">
        <v>46259</v>
      </c>
      <c r="C753" t="s">
        <v>1213</v>
      </c>
      <c r="D753" t="s">
        <v>1223</v>
      </c>
      <c r="E753" t="s">
        <v>1369</v>
      </c>
      <c r="F753" t="s">
        <v>1900</v>
      </c>
      <c r="G753" t="s">
        <v>1910</v>
      </c>
      <c r="H753" t="s">
        <v>1916</v>
      </c>
      <c r="I753" s="4">
        <v>436</v>
      </c>
      <c r="J753" s="3">
        <v>233</v>
      </c>
      <c r="K753" s="3">
        <f>Table1[[#This Row],[Quantity Sold]]*Table1[[#This Row],[Unit Price (INR)]]</f>
        <v>101588</v>
      </c>
      <c r="L753" t="s">
        <v>1923</v>
      </c>
    </row>
    <row r="754" spans="1:12" x14ac:dyDescent="0.35">
      <c r="A754" t="s">
        <v>763</v>
      </c>
      <c r="B754" s="5">
        <v>46260</v>
      </c>
      <c r="C754" t="s">
        <v>1215</v>
      </c>
      <c r="D754" t="s">
        <v>1231</v>
      </c>
      <c r="E754" t="s">
        <v>1385</v>
      </c>
      <c r="F754" t="s">
        <v>1904</v>
      </c>
      <c r="G754" t="s">
        <v>1911</v>
      </c>
      <c r="H754" t="s">
        <v>1913</v>
      </c>
      <c r="I754" s="4">
        <v>227</v>
      </c>
      <c r="J754" s="3">
        <v>368</v>
      </c>
      <c r="K754" s="3">
        <f>Table1[[#This Row],[Quantity Sold]]*Table1[[#This Row],[Unit Price (INR)]]</f>
        <v>83536</v>
      </c>
      <c r="L754" t="s">
        <v>1922</v>
      </c>
    </row>
    <row r="755" spans="1:12" x14ac:dyDescent="0.35">
      <c r="A755" t="s">
        <v>764</v>
      </c>
      <c r="B755" s="5">
        <v>46261</v>
      </c>
      <c r="C755" t="s">
        <v>1217</v>
      </c>
      <c r="D755" t="s">
        <v>1235</v>
      </c>
      <c r="E755" t="s">
        <v>1259</v>
      </c>
      <c r="F755" t="s">
        <v>1906</v>
      </c>
      <c r="G755" t="s">
        <v>1911</v>
      </c>
      <c r="H755" t="s">
        <v>1915</v>
      </c>
      <c r="I755" s="4">
        <v>269</v>
      </c>
      <c r="J755" s="3">
        <v>180</v>
      </c>
      <c r="K755" s="3">
        <f>Table1[[#This Row],[Quantity Sold]]*Table1[[#This Row],[Unit Price (INR)]]</f>
        <v>48420</v>
      </c>
      <c r="L755" t="s">
        <v>1920</v>
      </c>
    </row>
    <row r="756" spans="1:12" x14ac:dyDescent="0.35">
      <c r="A756" t="s">
        <v>765</v>
      </c>
      <c r="B756" s="5">
        <v>46262</v>
      </c>
      <c r="C756" t="s">
        <v>1215</v>
      </c>
      <c r="D756" t="s">
        <v>1236</v>
      </c>
      <c r="E756" t="s">
        <v>1732</v>
      </c>
      <c r="F756" t="s">
        <v>1904</v>
      </c>
      <c r="G756" t="s">
        <v>1910</v>
      </c>
      <c r="H756" t="s">
        <v>1916</v>
      </c>
      <c r="I756" s="4">
        <v>10</v>
      </c>
      <c r="J756" s="3">
        <v>412</v>
      </c>
      <c r="K756" s="3">
        <f>Table1[[#This Row],[Quantity Sold]]*Table1[[#This Row],[Unit Price (INR)]]</f>
        <v>4120</v>
      </c>
      <c r="L756" t="s">
        <v>1923</v>
      </c>
    </row>
    <row r="757" spans="1:12" x14ac:dyDescent="0.35">
      <c r="A757" t="s">
        <v>766</v>
      </c>
      <c r="B757" s="5">
        <v>46263</v>
      </c>
      <c r="C757" t="s">
        <v>1214</v>
      </c>
      <c r="D757" t="s">
        <v>1228</v>
      </c>
      <c r="E757" t="s">
        <v>1317</v>
      </c>
      <c r="F757" t="s">
        <v>1901</v>
      </c>
      <c r="G757" t="s">
        <v>1908</v>
      </c>
      <c r="H757" t="s">
        <v>1914</v>
      </c>
      <c r="I757" s="4">
        <v>80</v>
      </c>
      <c r="J757" s="3">
        <v>98</v>
      </c>
      <c r="K757" s="3">
        <f>Table1[[#This Row],[Quantity Sold]]*Table1[[#This Row],[Unit Price (INR)]]</f>
        <v>7840</v>
      </c>
      <c r="L757" t="s">
        <v>1922</v>
      </c>
    </row>
    <row r="758" spans="1:12" x14ac:dyDescent="0.35">
      <c r="A758" t="s">
        <v>767</v>
      </c>
      <c r="B758" s="5">
        <v>46264</v>
      </c>
      <c r="C758" t="s">
        <v>1215</v>
      </c>
      <c r="D758" t="s">
        <v>1236</v>
      </c>
      <c r="E758" t="s">
        <v>1543</v>
      </c>
      <c r="F758" t="s">
        <v>1903</v>
      </c>
      <c r="G758" t="s">
        <v>1907</v>
      </c>
      <c r="H758" t="s">
        <v>1919</v>
      </c>
      <c r="I758" s="4">
        <v>487</v>
      </c>
      <c r="J758" s="3">
        <v>104</v>
      </c>
      <c r="K758" s="3">
        <f>Table1[[#This Row],[Quantity Sold]]*Table1[[#This Row],[Unit Price (INR)]]</f>
        <v>50648</v>
      </c>
      <c r="L758" t="s">
        <v>1922</v>
      </c>
    </row>
    <row r="759" spans="1:12" x14ac:dyDescent="0.35">
      <c r="A759" t="s">
        <v>768</v>
      </c>
      <c r="B759" s="5">
        <v>46265</v>
      </c>
      <c r="C759" t="s">
        <v>1215</v>
      </c>
      <c r="D759" t="s">
        <v>1242</v>
      </c>
      <c r="E759" t="s">
        <v>1260</v>
      </c>
      <c r="F759" t="s">
        <v>1901</v>
      </c>
      <c r="G759" t="s">
        <v>1907</v>
      </c>
      <c r="H759" t="s">
        <v>1919</v>
      </c>
      <c r="I759" s="4">
        <v>187</v>
      </c>
      <c r="J759" s="3">
        <v>203</v>
      </c>
      <c r="K759" s="3">
        <f>Table1[[#This Row],[Quantity Sold]]*Table1[[#This Row],[Unit Price (INR)]]</f>
        <v>37961</v>
      </c>
      <c r="L759" t="s">
        <v>1921</v>
      </c>
    </row>
    <row r="760" spans="1:12" x14ac:dyDescent="0.35">
      <c r="A760" t="s">
        <v>769</v>
      </c>
      <c r="B760" s="5">
        <v>46266</v>
      </c>
      <c r="C760" t="s">
        <v>1213</v>
      </c>
      <c r="D760" t="s">
        <v>1220</v>
      </c>
      <c r="E760" t="s">
        <v>1331</v>
      </c>
      <c r="F760" t="s">
        <v>1902</v>
      </c>
      <c r="G760" t="s">
        <v>1910</v>
      </c>
      <c r="H760" t="s">
        <v>1918</v>
      </c>
      <c r="I760" s="4">
        <v>466</v>
      </c>
      <c r="J760" s="3">
        <v>404</v>
      </c>
      <c r="K760" s="3">
        <f>Table1[[#This Row],[Quantity Sold]]*Table1[[#This Row],[Unit Price (INR)]]</f>
        <v>188264</v>
      </c>
      <c r="L760" t="s">
        <v>1922</v>
      </c>
    </row>
    <row r="761" spans="1:12" x14ac:dyDescent="0.35">
      <c r="A761" t="s">
        <v>770</v>
      </c>
      <c r="B761" s="5">
        <v>46267</v>
      </c>
      <c r="C761" t="s">
        <v>1213</v>
      </c>
      <c r="D761" t="s">
        <v>1220</v>
      </c>
      <c r="E761" t="s">
        <v>1596</v>
      </c>
      <c r="F761" t="s">
        <v>1900</v>
      </c>
      <c r="G761" t="s">
        <v>1910</v>
      </c>
      <c r="H761" t="s">
        <v>1912</v>
      </c>
      <c r="I761" s="4">
        <v>198</v>
      </c>
      <c r="J761" s="3">
        <v>249</v>
      </c>
      <c r="K761" s="3">
        <f>Table1[[#This Row],[Quantity Sold]]*Table1[[#This Row],[Unit Price (INR)]]</f>
        <v>49302</v>
      </c>
      <c r="L761" t="s">
        <v>1923</v>
      </c>
    </row>
    <row r="762" spans="1:12" x14ac:dyDescent="0.35">
      <c r="A762" t="s">
        <v>771</v>
      </c>
      <c r="B762" s="5">
        <v>46268</v>
      </c>
      <c r="C762" t="s">
        <v>1213</v>
      </c>
      <c r="D762" t="s">
        <v>1220</v>
      </c>
      <c r="E762" t="s">
        <v>1761</v>
      </c>
      <c r="F762" t="s">
        <v>1904</v>
      </c>
      <c r="G762" t="s">
        <v>1910</v>
      </c>
      <c r="H762" t="s">
        <v>1916</v>
      </c>
      <c r="I762" s="4">
        <v>300</v>
      </c>
      <c r="J762" s="3">
        <v>357</v>
      </c>
      <c r="K762" s="3">
        <f>Table1[[#This Row],[Quantity Sold]]*Table1[[#This Row],[Unit Price (INR)]]</f>
        <v>107100</v>
      </c>
      <c r="L762" t="s">
        <v>1921</v>
      </c>
    </row>
    <row r="763" spans="1:12" x14ac:dyDescent="0.35">
      <c r="A763" t="s">
        <v>772</v>
      </c>
      <c r="B763" s="5">
        <v>46269</v>
      </c>
      <c r="C763" t="s">
        <v>1216</v>
      </c>
      <c r="D763" t="s">
        <v>1241</v>
      </c>
      <c r="E763" t="s">
        <v>1550</v>
      </c>
      <c r="F763" t="s">
        <v>1897</v>
      </c>
      <c r="G763" t="s">
        <v>1908</v>
      </c>
      <c r="H763" t="s">
        <v>1912</v>
      </c>
      <c r="I763" s="4">
        <v>17</v>
      </c>
      <c r="J763" s="3">
        <v>405</v>
      </c>
      <c r="K763" s="3">
        <f>Table1[[#This Row],[Quantity Sold]]*Table1[[#This Row],[Unit Price (INR)]]</f>
        <v>6885</v>
      </c>
      <c r="L763" t="s">
        <v>1920</v>
      </c>
    </row>
    <row r="764" spans="1:12" x14ac:dyDescent="0.35">
      <c r="A764" t="s">
        <v>773</v>
      </c>
      <c r="B764" s="5">
        <v>46270</v>
      </c>
      <c r="C764" t="s">
        <v>1214</v>
      </c>
      <c r="D764" t="s">
        <v>1227</v>
      </c>
      <c r="E764" t="s">
        <v>1762</v>
      </c>
      <c r="F764" t="s">
        <v>1901</v>
      </c>
      <c r="G764" t="s">
        <v>1911</v>
      </c>
      <c r="H764" t="s">
        <v>1915</v>
      </c>
      <c r="I764" s="4">
        <v>262</v>
      </c>
      <c r="J764" s="3">
        <v>422</v>
      </c>
      <c r="K764" s="3">
        <f>Table1[[#This Row],[Quantity Sold]]*Table1[[#This Row],[Unit Price (INR)]]</f>
        <v>110564</v>
      </c>
      <c r="L764" t="s">
        <v>1920</v>
      </c>
    </row>
    <row r="765" spans="1:12" x14ac:dyDescent="0.35">
      <c r="A765" t="s">
        <v>774</v>
      </c>
      <c r="B765" s="5">
        <v>46271</v>
      </c>
      <c r="C765" t="s">
        <v>1213</v>
      </c>
      <c r="D765" t="s">
        <v>1234</v>
      </c>
      <c r="E765" t="s">
        <v>1349</v>
      </c>
      <c r="F765" t="s">
        <v>1902</v>
      </c>
      <c r="G765" t="s">
        <v>1910</v>
      </c>
      <c r="H765" t="s">
        <v>1914</v>
      </c>
      <c r="I765" s="4">
        <v>417</v>
      </c>
      <c r="J765" s="3">
        <v>167</v>
      </c>
      <c r="K765" s="3">
        <f>Table1[[#This Row],[Quantity Sold]]*Table1[[#This Row],[Unit Price (INR)]]</f>
        <v>69639</v>
      </c>
      <c r="L765" t="s">
        <v>1923</v>
      </c>
    </row>
    <row r="766" spans="1:12" x14ac:dyDescent="0.35">
      <c r="A766" t="s">
        <v>775</v>
      </c>
      <c r="B766" s="5">
        <v>46272</v>
      </c>
      <c r="C766" t="s">
        <v>1217</v>
      </c>
      <c r="D766" t="s">
        <v>1238</v>
      </c>
      <c r="E766" t="s">
        <v>1763</v>
      </c>
      <c r="F766" t="s">
        <v>1898</v>
      </c>
      <c r="G766" t="s">
        <v>1910</v>
      </c>
      <c r="H766" t="s">
        <v>1916</v>
      </c>
      <c r="I766" s="4">
        <v>476</v>
      </c>
      <c r="J766" s="3">
        <v>312</v>
      </c>
      <c r="K766" s="3">
        <f>Table1[[#This Row],[Quantity Sold]]*Table1[[#This Row],[Unit Price (INR)]]</f>
        <v>148512</v>
      </c>
      <c r="L766" t="s">
        <v>1923</v>
      </c>
    </row>
    <row r="767" spans="1:12" x14ac:dyDescent="0.35">
      <c r="A767" t="s">
        <v>776</v>
      </c>
      <c r="B767" s="5">
        <v>46273</v>
      </c>
      <c r="C767" t="s">
        <v>1216</v>
      </c>
      <c r="D767" t="s">
        <v>1239</v>
      </c>
      <c r="E767" t="s">
        <v>1764</v>
      </c>
      <c r="F767" t="s">
        <v>1905</v>
      </c>
      <c r="G767" t="s">
        <v>1909</v>
      </c>
      <c r="H767" t="s">
        <v>1917</v>
      </c>
      <c r="I767" s="4">
        <v>301</v>
      </c>
      <c r="J767" s="3">
        <v>95</v>
      </c>
      <c r="K767" s="3">
        <f>Table1[[#This Row],[Quantity Sold]]*Table1[[#This Row],[Unit Price (INR)]]</f>
        <v>28595</v>
      </c>
      <c r="L767" t="s">
        <v>1921</v>
      </c>
    </row>
    <row r="768" spans="1:12" x14ac:dyDescent="0.35">
      <c r="A768" t="s">
        <v>777</v>
      </c>
      <c r="B768" s="5">
        <v>46274</v>
      </c>
      <c r="C768" t="s">
        <v>1212</v>
      </c>
      <c r="D768" t="s">
        <v>1219</v>
      </c>
      <c r="E768" t="s">
        <v>1765</v>
      </c>
      <c r="F768" t="s">
        <v>1906</v>
      </c>
      <c r="G768" t="s">
        <v>1908</v>
      </c>
      <c r="H768" t="s">
        <v>1913</v>
      </c>
      <c r="I768" s="4">
        <v>443</v>
      </c>
      <c r="J768" s="3">
        <v>351</v>
      </c>
      <c r="K768" s="3">
        <f>Table1[[#This Row],[Quantity Sold]]*Table1[[#This Row],[Unit Price (INR)]]</f>
        <v>155493</v>
      </c>
      <c r="L768" t="s">
        <v>1921</v>
      </c>
    </row>
    <row r="769" spans="1:12" x14ac:dyDescent="0.35">
      <c r="A769" t="s">
        <v>778</v>
      </c>
      <c r="B769" s="5">
        <v>46275</v>
      </c>
      <c r="C769" t="s">
        <v>1217</v>
      </c>
      <c r="D769" t="s">
        <v>1235</v>
      </c>
      <c r="E769" t="s">
        <v>1559</v>
      </c>
      <c r="F769" t="s">
        <v>1902</v>
      </c>
      <c r="G769" t="s">
        <v>1910</v>
      </c>
      <c r="H769" t="s">
        <v>1916</v>
      </c>
      <c r="I769" s="4">
        <v>253</v>
      </c>
      <c r="J769" s="3">
        <v>405</v>
      </c>
      <c r="K769" s="3">
        <f>Table1[[#This Row],[Quantity Sold]]*Table1[[#This Row],[Unit Price (INR)]]</f>
        <v>102465</v>
      </c>
      <c r="L769" t="s">
        <v>1923</v>
      </c>
    </row>
    <row r="770" spans="1:12" x14ac:dyDescent="0.35">
      <c r="A770" t="s">
        <v>779</v>
      </c>
      <c r="B770" s="5">
        <v>46276</v>
      </c>
      <c r="C770" t="s">
        <v>1211</v>
      </c>
      <c r="D770" t="s">
        <v>1221</v>
      </c>
      <c r="E770" t="s">
        <v>1694</v>
      </c>
      <c r="F770" t="s">
        <v>1903</v>
      </c>
      <c r="G770" t="s">
        <v>1909</v>
      </c>
      <c r="H770" t="s">
        <v>1916</v>
      </c>
      <c r="I770" s="4">
        <v>132</v>
      </c>
      <c r="J770" s="3">
        <v>449</v>
      </c>
      <c r="K770" s="3">
        <f>Table1[[#This Row],[Quantity Sold]]*Table1[[#This Row],[Unit Price (INR)]]</f>
        <v>59268</v>
      </c>
      <c r="L770" t="s">
        <v>1923</v>
      </c>
    </row>
    <row r="771" spans="1:12" x14ac:dyDescent="0.35">
      <c r="A771" t="s">
        <v>780</v>
      </c>
      <c r="B771" s="5">
        <v>46277</v>
      </c>
      <c r="C771" t="s">
        <v>1211</v>
      </c>
      <c r="D771" t="s">
        <v>1221</v>
      </c>
      <c r="E771" t="s">
        <v>1680</v>
      </c>
      <c r="F771" t="s">
        <v>1901</v>
      </c>
      <c r="G771" t="s">
        <v>1907</v>
      </c>
      <c r="H771" t="s">
        <v>1912</v>
      </c>
      <c r="I771" s="4">
        <v>308</v>
      </c>
      <c r="J771" s="3">
        <v>457</v>
      </c>
      <c r="K771" s="3">
        <f>Table1[[#This Row],[Quantity Sold]]*Table1[[#This Row],[Unit Price (INR)]]</f>
        <v>140756</v>
      </c>
      <c r="L771" t="s">
        <v>1920</v>
      </c>
    </row>
    <row r="772" spans="1:12" x14ac:dyDescent="0.35">
      <c r="A772" t="s">
        <v>781</v>
      </c>
      <c r="B772" s="5">
        <v>46278</v>
      </c>
      <c r="C772" t="s">
        <v>1217</v>
      </c>
      <c r="D772" t="s">
        <v>1235</v>
      </c>
      <c r="E772" t="s">
        <v>1485</v>
      </c>
      <c r="F772" t="s">
        <v>1903</v>
      </c>
      <c r="G772" t="s">
        <v>1910</v>
      </c>
      <c r="H772" t="s">
        <v>1912</v>
      </c>
      <c r="I772" s="4">
        <v>292</v>
      </c>
      <c r="J772" s="3">
        <v>238</v>
      </c>
      <c r="K772" s="3">
        <f>Table1[[#This Row],[Quantity Sold]]*Table1[[#This Row],[Unit Price (INR)]]</f>
        <v>69496</v>
      </c>
      <c r="L772" t="s">
        <v>1920</v>
      </c>
    </row>
    <row r="773" spans="1:12" x14ac:dyDescent="0.35">
      <c r="A773" t="s">
        <v>782</v>
      </c>
      <c r="B773" s="5">
        <v>46279</v>
      </c>
      <c r="C773" t="s">
        <v>1213</v>
      </c>
      <c r="D773" t="s">
        <v>1220</v>
      </c>
      <c r="E773" t="s">
        <v>1766</v>
      </c>
      <c r="F773" t="s">
        <v>1905</v>
      </c>
      <c r="G773" t="s">
        <v>1910</v>
      </c>
      <c r="H773" t="s">
        <v>1919</v>
      </c>
      <c r="I773" s="4">
        <v>41</v>
      </c>
      <c r="J773" s="3">
        <v>359</v>
      </c>
      <c r="K773" s="3">
        <f>Table1[[#This Row],[Quantity Sold]]*Table1[[#This Row],[Unit Price (INR)]]</f>
        <v>14719</v>
      </c>
      <c r="L773" t="s">
        <v>1920</v>
      </c>
    </row>
    <row r="774" spans="1:12" x14ac:dyDescent="0.35">
      <c r="A774" t="s">
        <v>783</v>
      </c>
      <c r="B774" s="5">
        <v>46280</v>
      </c>
      <c r="C774" t="s">
        <v>1212</v>
      </c>
      <c r="D774" t="s">
        <v>1233</v>
      </c>
      <c r="E774" t="s">
        <v>1767</v>
      </c>
      <c r="F774" t="s">
        <v>1897</v>
      </c>
      <c r="G774" t="s">
        <v>1909</v>
      </c>
      <c r="H774" t="s">
        <v>1913</v>
      </c>
      <c r="I774" s="4">
        <v>343</v>
      </c>
      <c r="J774" s="3">
        <v>367</v>
      </c>
      <c r="K774" s="3">
        <f>Table1[[#This Row],[Quantity Sold]]*Table1[[#This Row],[Unit Price (INR)]]</f>
        <v>125881</v>
      </c>
      <c r="L774" t="s">
        <v>1923</v>
      </c>
    </row>
    <row r="775" spans="1:12" x14ac:dyDescent="0.35">
      <c r="A775" t="s">
        <v>784</v>
      </c>
      <c r="B775" s="5">
        <v>46281</v>
      </c>
      <c r="C775" t="s">
        <v>1212</v>
      </c>
      <c r="D775" t="s">
        <v>1233</v>
      </c>
      <c r="E775" t="s">
        <v>1652</v>
      </c>
      <c r="F775" t="s">
        <v>1900</v>
      </c>
      <c r="G775" t="s">
        <v>1908</v>
      </c>
      <c r="H775" t="s">
        <v>1914</v>
      </c>
      <c r="I775" s="4">
        <v>386</v>
      </c>
      <c r="J775" s="3">
        <v>178</v>
      </c>
      <c r="K775" s="3">
        <f>Table1[[#This Row],[Quantity Sold]]*Table1[[#This Row],[Unit Price (INR)]]</f>
        <v>68708</v>
      </c>
      <c r="L775" t="s">
        <v>1922</v>
      </c>
    </row>
    <row r="776" spans="1:12" x14ac:dyDescent="0.35">
      <c r="A776" t="s">
        <v>785</v>
      </c>
      <c r="B776" s="5">
        <v>46282</v>
      </c>
      <c r="C776" t="s">
        <v>1216</v>
      </c>
      <c r="D776" t="s">
        <v>1241</v>
      </c>
      <c r="E776" t="s">
        <v>1768</v>
      </c>
      <c r="F776" t="s">
        <v>1900</v>
      </c>
      <c r="G776" t="s">
        <v>1910</v>
      </c>
      <c r="H776" t="s">
        <v>1916</v>
      </c>
      <c r="I776" s="4">
        <v>155</v>
      </c>
      <c r="J776" s="3">
        <v>98</v>
      </c>
      <c r="K776" s="3">
        <f>Table1[[#This Row],[Quantity Sold]]*Table1[[#This Row],[Unit Price (INR)]]</f>
        <v>15190</v>
      </c>
      <c r="L776" t="s">
        <v>1923</v>
      </c>
    </row>
    <row r="777" spans="1:12" x14ac:dyDescent="0.35">
      <c r="A777" t="s">
        <v>786</v>
      </c>
      <c r="B777" s="5">
        <v>46283</v>
      </c>
      <c r="C777" t="s">
        <v>1212</v>
      </c>
      <c r="D777" t="s">
        <v>1240</v>
      </c>
      <c r="E777" t="s">
        <v>1502</v>
      </c>
      <c r="F777" t="s">
        <v>1903</v>
      </c>
      <c r="G777" t="s">
        <v>1907</v>
      </c>
      <c r="H777" t="s">
        <v>1919</v>
      </c>
      <c r="I777" s="4">
        <v>165</v>
      </c>
      <c r="J777" s="3">
        <v>74</v>
      </c>
      <c r="K777" s="3">
        <f>Table1[[#This Row],[Quantity Sold]]*Table1[[#This Row],[Unit Price (INR)]]</f>
        <v>12210</v>
      </c>
      <c r="L777" t="s">
        <v>1923</v>
      </c>
    </row>
    <row r="778" spans="1:12" x14ac:dyDescent="0.35">
      <c r="A778" t="s">
        <v>787</v>
      </c>
      <c r="B778" s="5">
        <v>46284</v>
      </c>
      <c r="C778" t="s">
        <v>1211</v>
      </c>
      <c r="D778" t="s">
        <v>1224</v>
      </c>
      <c r="E778" t="s">
        <v>1667</v>
      </c>
      <c r="F778" t="s">
        <v>1904</v>
      </c>
      <c r="G778" t="s">
        <v>1910</v>
      </c>
      <c r="H778" t="s">
        <v>1912</v>
      </c>
      <c r="I778" s="4">
        <v>422</v>
      </c>
      <c r="J778" s="3">
        <v>315</v>
      </c>
      <c r="K778" s="3">
        <f>Table1[[#This Row],[Quantity Sold]]*Table1[[#This Row],[Unit Price (INR)]]</f>
        <v>132930</v>
      </c>
      <c r="L778" t="s">
        <v>1920</v>
      </c>
    </row>
    <row r="779" spans="1:12" x14ac:dyDescent="0.35">
      <c r="A779" t="s">
        <v>788</v>
      </c>
      <c r="B779" s="5">
        <v>46285</v>
      </c>
      <c r="C779" t="s">
        <v>1214</v>
      </c>
      <c r="D779" t="s">
        <v>1228</v>
      </c>
      <c r="E779" t="s">
        <v>1769</v>
      </c>
      <c r="F779" t="s">
        <v>1897</v>
      </c>
      <c r="G779" t="s">
        <v>1907</v>
      </c>
      <c r="H779" t="s">
        <v>1918</v>
      </c>
      <c r="I779" s="4">
        <v>25</v>
      </c>
      <c r="J779" s="3">
        <v>167</v>
      </c>
      <c r="K779" s="3">
        <f>Table1[[#This Row],[Quantity Sold]]*Table1[[#This Row],[Unit Price (INR)]]</f>
        <v>4175</v>
      </c>
      <c r="L779" t="s">
        <v>1923</v>
      </c>
    </row>
    <row r="780" spans="1:12" x14ac:dyDescent="0.35">
      <c r="A780" t="s">
        <v>789</v>
      </c>
      <c r="B780" s="5">
        <v>46286</v>
      </c>
      <c r="C780" t="s">
        <v>1213</v>
      </c>
      <c r="D780" t="s">
        <v>1223</v>
      </c>
      <c r="E780" t="s">
        <v>1316</v>
      </c>
      <c r="F780" t="s">
        <v>1900</v>
      </c>
      <c r="G780" t="s">
        <v>1911</v>
      </c>
      <c r="H780" t="s">
        <v>1913</v>
      </c>
      <c r="I780" s="4">
        <v>364</v>
      </c>
      <c r="J780" s="3">
        <v>193</v>
      </c>
      <c r="K780" s="3">
        <f>Table1[[#This Row],[Quantity Sold]]*Table1[[#This Row],[Unit Price (INR)]]</f>
        <v>70252</v>
      </c>
      <c r="L780" t="s">
        <v>1921</v>
      </c>
    </row>
    <row r="781" spans="1:12" x14ac:dyDescent="0.35">
      <c r="A781" t="s">
        <v>790</v>
      </c>
      <c r="B781" s="5">
        <v>46287</v>
      </c>
      <c r="C781" t="s">
        <v>1212</v>
      </c>
      <c r="D781" t="s">
        <v>1240</v>
      </c>
      <c r="E781" t="s">
        <v>1770</v>
      </c>
      <c r="F781" t="s">
        <v>1897</v>
      </c>
      <c r="G781" t="s">
        <v>1911</v>
      </c>
      <c r="H781" t="s">
        <v>1919</v>
      </c>
      <c r="I781" s="4">
        <v>56</v>
      </c>
      <c r="J781" s="3">
        <v>491</v>
      </c>
      <c r="K781" s="3">
        <f>Table1[[#This Row],[Quantity Sold]]*Table1[[#This Row],[Unit Price (INR)]]</f>
        <v>27496</v>
      </c>
      <c r="L781" t="s">
        <v>1923</v>
      </c>
    </row>
    <row r="782" spans="1:12" x14ac:dyDescent="0.35">
      <c r="A782" t="s">
        <v>791</v>
      </c>
      <c r="B782" s="5">
        <v>46288</v>
      </c>
      <c r="C782" t="s">
        <v>1216</v>
      </c>
      <c r="D782" t="s">
        <v>1232</v>
      </c>
      <c r="E782" t="s">
        <v>1768</v>
      </c>
      <c r="F782" t="s">
        <v>1902</v>
      </c>
      <c r="G782" t="s">
        <v>1907</v>
      </c>
      <c r="H782" t="s">
        <v>1919</v>
      </c>
      <c r="I782" s="4">
        <v>260</v>
      </c>
      <c r="J782" s="3">
        <v>249</v>
      </c>
      <c r="K782" s="3">
        <f>Table1[[#This Row],[Quantity Sold]]*Table1[[#This Row],[Unit Price (INR)]]</f>
        <v>64740</v>
      </c>
      <c r="L782" t="s">
        <v>1923</v>
      </c>
    </row>
    <row r="783" spans="1:12" x14ac:dyDescent="0.35">
      <c r="A783" t="s">
        <v>792</v>
      </c>
      <c r="B783" s="5">
        <v>46289</v>
      </c>
      <c r="C783" t="s">
        <v>1211</v>
      </c>
      <c r="D783" t="s">
        <v>1221</v>
      </c>
      <c r="E783" t="s">
        <v>1771</v>
      </c>
      <c r="F783" t="s">
        <v>1897</v>
      </c>
      <c r="G783" t="s">
        <v>1908</v>
      </c>
      <c r="H783" t="s">
        <v>1915</v>
      </c>
      <c r="I783" s="4">
        <v>196</v>
      </c>
      <c r="J783" s="3">
        <v>206</v>
      </c>
      <c r="K783" s="3">
        <f>Table1[[#This Row],[Quantity Sold]]*Table1[[#This Row],[Unit Price (INR)]]</f>
        <v>40376</v>
      </c>
      <c r="L783" t="s">
        <v>1923</v>
      </c>
    </row>
    <row r="784" spans="1:12" x14ac:dyDescent="0.35">
      <c r="A784" t="s">
        <v>793</v>
      </c>
      <c r="B784" s="5">
        <v>46290</v>
      </c>
      <c r="C784" t="s">
        <v>1214</v>
      </c>
      <c r="D784" t="s">
        <v>1228</v>
      </c>
      <c r="E784" t="s">
        <v>1663</v>
      </c>
      <c r="F784" t="s">
        <v>1899</v>
      </c>
      <c r="G784" t="s">
        <v>1910</v>
      </c>
      <c r="H784" t="s">
        <v>1919</v>
      </c>
      <c r="I784" s="4">
        <v>40</v>
      </c>
      <c r="J784" s="3">
        <v>397</v>
      </c>
      <c r="K784" s="3">
        <f>Table1[[#This Row],[Quantity Sold]]*Table1[[#This Row],[Unit Price (INR)]]</f>
        <v>15880</v>
      </c>
      <c r="L784" t="s">
        <v>1923</v>
      </c>
    </row>
    <row r="785" spans="1:12" x14ac:dyDescent="0.35">
      <c r="A785" t="s">
        <v>794</v>
      </c>
      <c r="B785" s="5">
        <v>46291</v>
      </c>
      <c r="C785" t="s">
        <v>1215</v>
      </c>
      <c r="D785" t="s">
        <v>1231</v>
      </c>
      <c r="E785" t="s">
        <v>1772</v>
      </c>
      <c r="F785" t="s">
        <v>1905</v>
      </c>
      <c r="G785" t="s">
        <v>1910</v>
      </c>
      <c r="H785" t="s">
        <v>1915</v>
      </c>
      <c r="I785" s="4">
        <v>269</v>
      </c>
      <c r="J785" s="3">
        <v>183</v>
      </c>
      <c r="K785" s="3">
        <f>Table1[[#This Row],[Quantity Sold]]*Table1[[#This Row],[Unit Price (INR)]]</f>
        <v>49227</v>
      </c>
      <c r="L785" t="s">
        <v>1922</v>
      </c>
    </row>
    <row r="786" spans="1:12" x14ac:dyDescent="0.35">
      <c r="A786" t="s">
        <v>795</v>
      </c>
      <c r="B786" s="5">
        <v>46292</v>
      </c>
      <c r="C786" t="s">
        <v>1215</v>
      </c>
      <c r="D786" t="s">
        <v>1236</v>
      </c>
      <c r="E786" t="s">
        <v>1773</v>
      </c>
      <c r="F786" t="s">
        <v>1900</v>
      </c>
      <c r="G786" t="s">
        <v>1911</v>
      </c>
      <c r="H786" t="s">
        <v>1916</v>
      </c>
      <c r="I786" s="4">
        <v>430</v>
      </c>
      <c r="J786" s="3">
        <v>449</v>
      </c>
      <c r="K786" s="3">
        <f>Table1[[#This Row],[Quantity Sold]]*Table1[[#This Row],[Unit Price (INR)]]</f>
        <v>193070</v>
      </c>
      <c r="L786" t="s">
        <v>1923</v>
      </c>
    </row>
    <row r="787" spans="1:12" x14ac:dyDescent="0.35">
      <c r="A787" t="s">
        <v>796</v>
      </c>
      <c r="B787" s="5">
        <v>46293</v>
      </c>
      <c r="C787" t="s">
        <v>1214</v>
      </c>
      <c r="D787" t="s">
        <v>1226</v>
      </c>
      <c r="E787" t="s">
        <v>1765</v>
      </c>
      <c r="F787" t="s">
        <v>1897</v>
      </c>
      <c r="G787" t="s">
        <v>1907</v>
      </c>
      <c r="H787" t="s">
        <v>1916</v>
      </c>
      <c r="I787" s="4">
        <v>26</v>
      </c>
      <c r="J787" s="3">
        <v>197</v>
      </c>
      <c r="K787" s="3">
        <f>Table1[[#This Row],[Quantity Sold]]*Table1[[#This Row],[Unit Price (INR)]]</f>
        <v>5122</v>
      </c>
      <c r="L787" t="s">
        <v>1921</v>
      </c>
    </row>
    <row r="788" spans="1:12" x14ac:dyDescent="0.35">
      <c r="A788" t="s">
        <v>797</v>
      </c>
      <c r="B788" s="5">
        <v>46294</v>
      </c>
      <c r="C788" t="s">
        <v>1211</v>
      </c>
      <c r="D788" t="s">
        <v>1224</v>
      </c>
      <c r="E788" t="s">
        <v>1557</v>
      </c>
      <c r="F788" t="s">
        <v>1903</v>
      </c>
      <c r="G788" t="s">
        <v>1910</v>
      </c>
      <c r="H788" t="s">
        <v>1912</v>
      </c>
      <c r="I788" s="4">
        <v>48</v>
      </c>
      <c r="J788" s="3">
        <v>385</v>
      </c>
      <c r="K788" s="3">
        <f>Table1[[#This Row],[Quantity Sold]]*Table1[[#This Row],[Unit Price (INR)]]</f>
        <v>18480</v>
      </c>
      <c r="L788" t="s">
        <v>1921</v>
      </c>
    </row>
    <row r="789" spans="1:12" x14ac:dyDescent="0.35">
      <c r="A789" t="s">
        <v>798</v>
      </c>
      <c r="B789" s="5">
        <v>46295</v>
      </c>
      <c r="C789" t="s">
        <v>1216</v>
      </c>
      <c r="D789" t="s">
        <v>1232</v>
      </c>
      <c r="E789" t="s">
        <v>1409</v>
      </c>
      <c r="F789" t="s">
        <v>1898</v>
      </c>
      <c r="G789" t="s">
        <v>1910</v>
      </c>
      <c r="H789" t="s">
        <v>1918</v>
      </c>
      <c r="I789" s="4">
        <v>313</v>
      </c>
      <c r="J789" s="3">
        <v>120</v>
      </c>
      <c r="K789" s="3">
        <f>Table1[[#This Row],[Quantity Sold]]*Table1[[#This Row],[Unit Price (INR)]]</f>
        <v>37560</v>
      </c>
      <c r="L789" t="s">
        <v>1923</v>
      </c>
    </row>
    <row r="790" spans="1:12" x14ac:dyDescent="0.35">
      <c r="A790" t="s">
        <v>799</v>
      </c>
      <c r="B790" s="5">
        <v>46296</v>
      </c>
      <c r="C790" t="s">
        <v>1214</v>
      </c>
      <c r="D790" t="s">
        <v>1228</v>
      </c>
      <c r="E790" t="s">
        <v>1774</v>
      </c>
      <c r="F790" t="s">
        <v>1899</v>
      </c>
      <c r="G790" t="s">
        <v>1908</v>
      </c>
      <c r="H790" t="s">
        <v>1917</v>
      </c>
      <c r="I790" s="4">
        <v>439</v>
      </c>
      <c r="J790" s="3">
        <v>282</v>
      </c>
      <c r="K790" s="3">
        <f>Table1[[#This Row],[Quantity Sold]]*Table1[[#This Row],[Unit Price (INR)]]</f>
        <v>123798</v>
      </c>
      <c r="L790" t="s">
        <v>1920</v>
      </c>
    </row>
    <row r="791" spans="1:12" x14ac:dyDescent="0.35">
      <c r="A791" t="s">
        <v>800</v>
      </c>
      <c r="B791" s="5">
        <v>46297</v>
      </c>
      <c r="C791" t="s">
        <v>1213</v>
      </c>
      <c r="D791" t="s">
        <v>1223</v>
      </c>
      <c r="E791" t="s">
        <v>1775</v>
      </c>
      <c r="F791" t="s">
        <v>1899</v>
      </c>
      <c r="G791" t="s">
        <v>1909</v>
      </c>
      <c r="H791" t="s">
        <v>1917</v>
      </c>
      <c r="I791" s="4">
        <v>483</v>
      </c>
      <c r="J791" s="3">
        <v>383</v>
      </c>
      <c r="K791" s="3">
        <f>Table1[[#This Row],[Quantity Sold]]*Table1[[#This Row],[Unit Price (INR)]]</f>
        <v>184989</v>
      </c>
      <c r="L791" t="s">
        <v>1922</v>
      </c>
    </row>
    <row r="792" spans="1:12" x14ac:dyDescent="0.35">
      <c r="A792" t="s">
        <v>801</v>
      </c>
      <c r="B792" s="5">
        <v>46298</v>
      </c>
      <c r="C792" t="s">
        <v>1213</v>
      </c>
      <c r="D792" t="s">
        <v>1223</v>
      </c>
      <c r="E792" t="s">
        <v>1776</v>
      </c>
      <c r="F792" t="s">
        <v>1904</v>
      </c>
      <c r="G792" t="s">
        <v>1911</v>
      </c>
      <c r="H792" t="s">
        <v>1917</v>
      </c>
      <c r="I792" s="4">
        <v>441</v>
      </c>
      <c r="J792" s="3">
        <v>348</v>
      </c>
      <c r="K792" s="3">
        <f>Table1[[#This Row],[Quantity Sold]]*Table1[[#This Row],[Unit Price (INR)]]</f>
        <v>153468</v>
      </c>
      <c r="L792" t="s">
        <v>1923</v>
      </c>
    </row>
    <row r="793" spans="1:12" x14ac:dyDescent="0.35">
      <c r="A793" t="s">
        <v>802</v>
      </c>
      <c r="B793" s="5">
        <v>46299</v>
      </c>
      <c r="C793" t="s">
        <v>1215</v>
      </c>
      <c r="D793" t="s">
        <v>1242</v>
      </c>
      <c r="E793" t="s">
        <v>1713</v>
      </c>
      <c r="F793" t="s">
        <v>1897</v>
      </c>
      <c r="G793" t="s">
        <v>1911</v>
      </c>
      <c r="H793" t="s">
        <v>1912</v>
      </c>
      <c r="I793" s="4">
        <v>48</v>
      </c>
      <c r="J793" s="3">
        <v>203</v>
      </c>
      <c r="K793" s="3">
        <f>Table1[[#This Row],[Quantity Sold]]*Table1[[#This Row],[Unit Price (INR)]]</f>
        <v>9744</v>
      </c>
      <c r="L793" t="s">
        <v>1923</v>
      </c>
    </row>
    <row r="794" spans="1:12" x14ac:dyDescent="0.35">
      <c r="A794" t="s">
        <v>803</v>
      </c>
      <c r="B794" s="5">
        <v>46300</v>
      </c>
      <c r="C794" t="s">
        <v>1212</v>
      </c>
      <c r="D794" t="s">
        <v>1233</v>
      </c>
      <c r="E794" t="s">
        <v>1777</v>
      </c>
      <c r="F794" t="s">
        <v>1904</v>
      </c>
      <c r="G794" t="s">
        <v>1909</v>
      </c>
      <c r="H794" t="s">
        <v>1915</v>
      </c>
      <c r="I794" s="4">
        <v>498</v>
      </c>
      <c r="J794" s="3">
        <v>139</v>
      </c>
      <c r="K794" s="3">
        <f>Table1[[#This Row],[Quantity Sold]]*Table1[[#This Row],[Unit Price (INR)]]</f>
        <v>69222</v>
      </c>
      <c r="L794" t="s">
        <v>1923</v>
      </c>
    </row>
    <row r="795" spans="1:12" x14ac:dyDescent="0.35">
      <c r="A795" t="s">
        <v>804</v>
      </c>
      <c r="B795" s="5">
        <v>46301</v>
      </c>
      <c r="C795" t="s">
        <v>1216</v>
      </c>
      <c r="D795" t="s">
        <v>1241</v>
      </c>
      <c r="E795" t="s">
        <v>1778</v>
      </c>
      <c r="F795" t="s">
        <v>1904</v>
      </c>
      <c r="G795" t="s">
        <v>1910</v>
      </c>
      <c r="H795" t="s">
        <v>1912</v>
      </c>
      <c r="I795" s="4">
        <v>141</v>
      </c>
      <c r="J795" s="3">
        <v>383</v>
      </c>
      <c r="K795" s="3">
        <f>Table1[[#This Row],[Quantity Sold]]*Table1[[#This Row],[Unit Price (INR)]]</f>
        <v>54003</v>
      </c>
      <c r="L795" t="s">
        <v>1920</v>
      </c>
    </row>
    <row r="796" spans="1:12" x14ac:dyDescent="0.35">
      <c r="A796" t="s">
        <v>805</v>
      </c>
      <c r="B796" s="5">
        <v>46302</v>
      </c>
      <c r="C796" t="s">
        <v>1215</v>
      </c>
      <c r="D796" t="s">
        <v>1236</v>
      </c>
      <c r="E796" t="s">
        <v>1779</v>
      </c>
      <c r="F796" t="s">
        <v>1898</v>
      </c>
      <c r="G796" t="s">
        <v>1908</v>
      </c>
      <c r="H796" t="s">
        <v>1913</v>
      </c>
      <c r="I796" s="4">
        <v>39</v>
      </c>
      <c r="J796" s="3">
        <v>248</v>
      </c>
      <c r="K796" s="3">
        <f>Table1[[#This Row],[Quantity Sold]]*Table1[[#This Row],[Unit Price (INR)]]</f>
        <v>9672</v>
      </c>
      <c r="L796" t="s">
        <v>1920</v>
      </c>
    </row>
    <row r="797" spans="1:12" x14ac:dyDescent="0.35">
      <c r="A797" t="s">
        <v>806</v>
      </c>
      <c r="B797" s="5">
        <v>46303</v>
      </c>
      <c r="C797" t="s">
        <v>1212</v>
      </c>
      <c r="D797" t="s">
        <v>1240</v>
      </c>
      <c r="E797" t="s">
        <v>1337</v>
      </c>
      <c r="F797" t="s">
        <v>1902</v>
      </c>
      <c r="G797" t="s">
        <v>1908</v>
      </c>
      <c r="H797" t="s">
        <v>1913</v>
      </c>
      <c r="I797" s="4">
        <v>167</v>
      </c>
      <c r="J797" s="3">
        <v>210</v>
      </c>
      <c r="K797" s="3">
        <f>Table1[[#This Row],[Quantity Sold]]*Table1[[#This Row],[Unit Price (INR)]]</f>
        <v>35070</v>
      </c>
      <c r="L797" t="s">
        <v>1920</v>
      </c>
    </row>
    <row r="798" spans="1:12" x14ac:dyDescent="0.35">
      <c r="A798" t="s">
        <v>807</v>
      </c>
      <c r="B798" s="5">
        <v>46304</v>
      </c>
      <c r="C798" t="s">
        <v>1212</v>
      </c>
      <c r="D798" t="s">
        <v>1229</v>
      </c>
      <c r="E798" t="s">
        <v>1602</v>
      </c>
      <c r="F798" t="s">
        <v>1897</v>
      </c>
      <c r="G798" t="s">
        <v>1911</v>
      </c>
      <c r="H798" t="s">
        <v>1918</v>
      </c>
      <c r="I798" s="4">
        <v>287</v>
      </c>
      <c r="J798" s="3">
        <v>75</v>
      </c>
      <c r="K798" s="3">
        <f>Table1[[#This Row],[Quantity Sold]]*Table1[[#This Row],[Unit Price (INR)]]</f>
        <v>21525</v>
      </c>
      <c r="L798" t="s">
        <v>1922</v>
      </c>
    </row>
    <row r="799" spans="1:12" x14ac:dyDescent="0.35">
      <c r="A799" t="s">
        <v>808</v>
      </c>
      <c r="B799" s="5">
        <v>46305</v>
      </c>
      <c r="C799" t="s">
        <v>1213</v>
      </c>
      <c r="D799" t="s">
        <v>1223</v>
      </c>
      <c r="E799" t="s">
        <v>1290</v>
      </c>
      <c r="F799" t="s">
        <v>1901</v>
      </c>
      <c r="G799" t="s">
        <v>1908</v>
      </c>
      <c r="H799" t="s">
        <v>1913</v>
      </c>
      <c r="I799" s="4">
        <v>212</v>
      </c>
      <c r="J799" s="3">
        <v>170</v>
      </c>
      <c r="K799" s="3">
        <f>Table1[[#This Row],[Quantity Sold]]*Table1[[#This Row],[Unit Price (INR)]]</f>
        <v>36040</v>
      </c>
      <c r="L799" t="s">
        <v>1921</v>
      </c>
    </row>
    <row r="800" spans="1:12" x14ac:dyDescent="0.35">
      <c r="A800" t="s">
        <v>809</v>
      </c>
      <c r="B800" s="5">
        <v>46306</v>
      </c>
      <c r="C800" t="s">
        <v>1211</v>
      </c>
      <c r="D800" t="s">
        <v>1221</v>
      </c>
      <c r="E800" t="s">
        <v>1780</v>
      </c>
      <c r="F800" t="s">
        <v>1900</v>
      </c>
      <c r="G800" t="s">
        <v>1909</v>
      </c>
      <c r="H800" t="s">
        <v>1917</v>
      </c>
      <c r="I800" s="4">
        <v>75</v>
      </c>
      <c r="J800" s="3">
        <v>350</v>
      </c>
      <c r="K800" s="3">
        <f>Table1[[#This Row],[Quantity Sold]]*Table1[[#This Row],[Unit Price (INR)]]</f>
        <v>26250</v>
      </c>
      <c r="L800" t="s">
        <v>1922</v>
      </c>
    </row>
    <row r="801" spans="1:12" x14ac:dyDescent="0.35">
      <c r="A801" t="s">
        <v>810</v>
      </c>
      <c r="B801" s="5">
        <v>46307</v>
      </c>
      <c r="C801" t="s">
        <v>1217</v>
      </c>
      <c r="D801" t="s">
        <v>1245</v>
      </c>
      <c r="E801" t="s">
        <v>1726</v>
      </c>
      <c r="F801" t="s">
        <v>1904</v>
      </c>
      <c r="G801" t="s">
        <v>1910</v>
      </c>
      <c r="H801" t="s">
        <v>1917</v>
      </c>
      <c r="I801" s="4">
        <v>117</v>
      </c>
      <c r="J801" s="3">
        <v>261</v>
      </c>
      <c r="K801" s="3">
        <f>Table1[[#This Row],[Quantity Sold]]*Table1[[#This Row],[Unit Price (INR)]]</f>
        <v>30537</v>
      </c>
      <c r="L801" t="s">
        <v>1920</v>
      </c>
    </row>
    <row r="802" spans="1:12" x14ac:dyDescent="0.35">
      <c r="A802" t="s">
        <v>811</v>
      </c>
      <c r="B802" s="5">
        <v>46308</v>
      </c>
      <c r="C802" t="s">
        <v>1211</v>
      </c>
      <c r="D802" t="s">
        <v>1224</v>
      </c>
      <c r="E802" t="s">
        <v>1312</v>
      </c>
      <c r="F802" t="s">
        <v>1905</v>
      </c>
      <c r="G802" t="s">
        <v>1909</v>
      </c>
      <c r="H802" t="s">
        <v>1912</v>
      </c>
      <c r="I802" s="4">
        <v>277</v>
      </c>
      <c r="J802" s="3">
        <v>112</v>
      </c>
      <c r="K802" s="3">
        <f>Table1[[#This Row],[Quantity Sold]]*Table1[[#This Row],[Unit Price (INR)]]</f>
        <v>31024</v>
      </c>
      <c r="L802" t="s">
        <v>1921</v>
      </c>
    </row>
    <row r="803" spans="1:12" x14ac:dyDescent="0.35">
      <c r="A803" t="s">
        <v>812</v>
      </c>
      <c r="B803" s="5">
        <v>46309</v>
      </c>
      <c r="C803" t="s">
        <v>1217</v>
      </c>
      <c r="D803" t="s">
        <v>1237</v>
      </c>
      <c r="E803" t="s">
        <v>1310</v>
      </c>
      <c r="F803" t="s">
        <v>1906</v>
      </c>
      <c r="G803" t="s">
        <v>1907</v>
      </c>
      <c r="H803" t="s">
        <v>1919</v>
      </c>
      <c r="I803" s="4">
        <v>231</v>
      </c>
      <c r="J803" s="3">
        <v>485</v>
      </c>
      <c r="K803" s="3">
        <f>Table1[[#This Row],[Quantity Sold]]*Table1[[#This Row],[Unit Price (INR)]]</f>
        <v>112035</v>
      </c>
      <c r="L803" t="s">
        <v>1921</v>
      </c>
    </row>
    <row r="804" spans="1:12" x14ac:dyDescent="0.35">
      <c r="A804" t="s">
        <v>813</v>
      </c>
      <c r="B804" s="5">
        <v>46310</v>
      </c>
      <c r="C804" t="s">
        <v>1214</v>
      </c>
      <c r="D804" t="s">
        <v>1227</v>
      </c>
      <c r="E804" t="s">
        <v>1653</v>
      </c>
      <c r="F804" t="s">
        <v>1905</v>
      </c>
      <c r="G804" t="s">
        <v>1911</v>
      </c>
      <c r="H804" t="s">
        <v>1913</v>
      </c>
      <c r="I804" s="4">
        <v>301</v>
      </c>
      <c r="J804" s="3">
        <v>117</v>
      </c>
      <c r="K804" s="3">
        <f>Table1[[#This Row],[Quantity Sold]]*Table1[[#This Row],[Unit Price (INR)]]</f>
        <v>35217</v>
      </c>
      <c r="L804" t="s">
        <v>1920</v>
      </c>
    </row>
    <row r="805" spans="1:12" x14ac:dyDescent="0.35">
      <c r="A805" t="s">
        <v>814</v>
      </c>
      <c r="B805" s="5">
        <v>46311</v>
      </c>
      <c r="C805" t="s">
        <v>1213</v>
      </c>
      <c r="D805" t="s">
        <v>1220</v>
      </c>
      <c r="E805" t="s">
        <v>1578</v>
      </c>
      <c r="F805" t="s">
        <v>1898</v>
      </c>
      <c r="G805" t="s">
        <v>1908</v>
      </c>
      <c r="H805" t="s">
        <v>1912</v>
      </c>
      <c r="I805" s="4">
        <v>27</v>
      </c>
      <c r="J805" s="3">
        <v>302</v>
      </c>
      <c r="K805" s="3">
        <f>Table1[[#This Row],[Quantity Sold]]*Table1[[#This Row],[Unit Price (INR)]]</f>
        <v>8154</v>
      </c>
      <c r="L805" t="s">
        <v>1920</v>
      </c>
    </row>
    <row r="806" spans="1:12" x14ac:dyDescent="0.35">
      <c r="A806" t="s">
        <v>815</v>
      </c>
      <c r="B806" s="5">
        <v>46312</v>
      </c>
      <c r="C806" t="s">
        <v>1212</v>
      </c>
      <c r="D806" t="s">
        <v>1229</v>
      </c>
      <c r="E806" t="s">
        <v>1551</v>
      </c>
      <c r="F806" t="s">
        <v>1898</v>
      </c>
      <c r="G806" t="s">
        <v>1907</v>
      </c>
      <c r="H806" t="s">
        <v>1916</v>
      </c>
      <c r="I806" s="4">
        <v>99</v>
      </c>
      <c r="J806" s="3">
        <v>459</v>
      </c>
      <c r="K806" s="3">
        <f>Table1[[#This Row],[Quantity Sold]]*Table1[[#This Row],[Unit Price (INR)]]</f>
        <v>45441</v>
      </c>
      <c r="L806" t="s">
        <v>1922</v>
      </c>
    </row>
    <row r="807" spans="1:12" x14ac:dyDescent="0.35">
      <c r="A807" t="s">
        <v>816</v>
      </c>
      <c r="B807" s="5">
        <v>46313</v>
      </c>
      <c r="C807" t="s">
        <v>1216</v>
      </c>
      <c r="D807" t="s">
        <v>1232</v>
      </c>
      <c r="E807" t="s">
        <v>1492</v>
      </c>
      <c r="F807" t="s">
        <v>1903</v>
      </c>
      <c r="G807" t="s">
        <v>1908</v>
      </c>
      <c r="H807" t="s">
        <v>1916</v>
      </c>
      <c r="I807" s="4">
        <v>190</v>
      </c>
      <c r="J807" s="3">
        <v>51</v>
      </c>
      <c r="K807" s="3">
        <f>Table1[[#This Row],[Quantity Sold]]*Table1[[#This Row],[Unit Price (INR)]]</f>
        <v>9690</v>
      </c>
      <c r="L807" t="s">
        <v>1920</v>
      </c>
    </row>
    <row r="808" spans="1:12" x14ac:dyDescent="0.35">
      <c r="A808" t="s">
        <v>817</v>
      </c>
      <c r="B808" s="5">
        <v>46314</v>
      </c>
      <c r="C808" t="s">
        <v>1217</v>
      </c>
      <c r="D808" t="s">
        <v>1246</v>
      </c>
      <c r="E808" t="s">
        <v>1422</v>
      </c>
      <c r="F808" t="s">
        <v>1902</v>
      </c>
      <c r="G808" t="s">
        <v>1910</v>
      </c>
      <c r="H808" t="s">
        <v>1919</v>
      </c>
      <c r="I808" s="4">
        <v>264</v>
      </c>
      <c r="J808" s="3">
        <v>447</v>
      </c>
      <c r="K808" s="3">
        <f>Table1[[#This Row],[Quantity Sold]]*Table1[[#This Row],[Unit Price (INR)]]</f>
        <v>118008</v>
      </c>
      <c r="L808" t="s">
        <v>1921</v>
      </c>
    </row>
    <row r="809" spans="1:12" x14ac:dyDescent="0.35">
      <c r="A809" t="s">
        <v>818</v>
      </c>
      <c r="B809" s="5">
        <v>46315</v>
      </c>
      <c r="C809" t="s">
        <v>1211</v>
      </c>
      <c r="D809" t="s">
        <v>1221</v>
      </c>
      <c r="E809" t="s">
        <v>1329</v>
      </c>
      <c r="F809" t="s">
        <v>1900</v>
      </c>
      <c r="G809" t="s">
        <v>1910</v>
      </c>
      <c r="H809" t="s">
        <v>1919</v>
      </c>
      <c r="I809" s="4">
        <v>464</v>
      </c>
      <c r="J809" s="3">
        <v>157</v>
      </c>
      <c r="K809" s="3">
        <f>Table1[[#This Row],[Quantity Sold]]*Table1[[#This Row],[Unit Price (INR)]]</f>
        <v>72848</v>
      </c>
      <c r="L809" t="s">
        <v>1923</v>
      </c>
    </row>
    <row r="810" spans="1:12" x14ac:dyDescent="0.35">
      <c r="A810" t="s">
        <v>819</v>
      </c>
      <c r="B810" s="5">
        <v>46316</v>
      </c>
      <c r="C810" t="s">
        <v>1212</v>
      </c>
      <c r="D810" t="s">
        <v>1233</v>
      </c>
      <c r="E810" t="s">
        <v>1781</v>
      </c>
      <c r="F810" t="s">
        <v>1904</v>
      </c>
      <c r="G810" t="s">
        <v>1910</v>
      </c>
      <c r="H810" t="s">
        <v>1919</v>
      </c>
      <c r="I810" s="4">
        <v>262</v>
      </c>
      <c r="J810" s="3">
        <v>335</v>
      </c>
      <c r="K810" s="3">
        <f>Table1[[#This Row],[Quantity Sold]]*Table1[[#This Row],[Unit Price (INR)]]</f>
        <v>87770</v>
      </c>
      <c r="L810" t="s">
        <v>1920</v>
      </c>
    </row>
    <row r="811" spans="1:12" x14ac:dyDescent="0.35">
      <c r="A811" t="s">
        <v>820</v>
      </c>
      <c r="B811" s="5">
        <v>46317</v>
      </c>
      <c r="C811" t="s">
        <v>1217</v>
      </c>
      <c r="D811" t="s">
        <v>1237</v>
      </c>
      <c r="E811" t="s">
        <v>1337</v>
      </c>
      <c r="F811" t="s">
        <v>1905</v>
      </c>
      <c r="G811" t="s">
        <v>1908</v>
      </c>
      <c r="H811" t="s">
        <v>1912</v>
      </c>
      <c r="I811" s="4">
        <v>266</v>
      </c>
      <c r="J811" s="3">
        <v>98</v>
      </c>
      <c r="K811" s="3">
        <f>Table1[[#This Row],[Quantity Sold]]*Table1[[#This Row],[Unit Price (INR)]]</f>
        <v>26068</v>
      </c>
      <c r="L811" t="s">
        <v>1920</v>
      </c>
    </row>
    <row r="812" spans="1:12" x14ac:dyDescent="0.35">
      <c r="A812" t="s">
        <v>821</v>
      </c>
      <c r="B812" s="5">
        <v>46318</v>
      </c>
      <c r="C812" t="s">
        <v>1217</v>
      </c>
      <c r="D812" t="s">
        <v>1238</v>
      </c>
      <c r="E812" t="s">
        <v>1761</v>
      </c>
      <c r="F812" t="s">
        <v>1906</v>
      </c>
      <c r="G812" t="s">
        <v>1907</v>
      </c>
      <c r="H812" t="s">
        <v>1916</v>
      </c>
      <c r="I812" s="4">
        <v>392</v>
      </c>
      <c r="J812" s="3">
        <v>189</v>
      </c>
      <c r="K812" s="3">
        <f>Table1[[#This Row],[Quantity Sold]]*Table1[[#This Row],[Unit Price (INR)]]</f>
        <v>74088</v>
      </c>
      <c r="L812" t="s">
        <v>1922</v>
      </c>
    </row>
    <row r="813" spans="1:12" x14ac:dyDescent="0.35">
      <c r="A813" t="s">
        <v>822</v>
      </c>
      <c r="B813" s="5">
        <v>46319</v>
      </c>
      <c r="C813" t="s">
        <v>1217</v>
      </c>
      <c r="D813" t="s">
        <v>1245</v>
      </c>
      <c r="E813" t="s">
        <v>1396</v>
      </c>
      <c r="F813" t="s">
        <v>1898</v>
      </c>
      <c r="G813" t="s">
        <v>1910</v>
      </c>
      <c r="H813" t="s">
        <v>1917</v>
      </c>
      <c r="I813" s="4">
        <v>451</v>
      </c>
      <c r="J813" s="3">
        <v>267</v>
      </c>
      <c r="K813" s="3">
        <f>Table1[[#This Row],[Quantity Sold]]*Table1[[#This Row],[Unit Price (INR)]]</f>
        <v>120417</v>
      </c>
      <c r="L813" t="s">
        <v>1922</v>
      </c>
    </row>
    <row r="814" spans="1:12" x14ac:dyDescent="0.35">
      <c r="A814" t="s">
        <v>823</v>
      </c>
      <c r="B814" s="5">
        <v>46320</v>
      </c>
      <c r="C814" t="s">
        <v>1216</v>
      </c>
      <c r="D814" t="s">
        <v>1232</v>
      </c>
      <c r="E814" t="s">
        <v>1505</v>
      </c>
      <c r="F814" t="s">
        <v>1898</v>
      </c>
      <c r="G814" t="s">
        <v>1907</v>
      </c>
      <c r="H814" t="s">
        <v>1919</v>
      </c>
      <c r="I814" s="4">
        <v>355</v>
      </c>
      <c r="J814" s="3">
        <v>93</v>
      </c>
      <c r="K814" s="3">
        <f>Table1[[#This Row],[Quantity Sold]]*Table1[[#This Row],[Unit Price (INR)]]</f>
        <v>33015</v>
      </c>
      <c r="L814" t="s">
        <v>1920</v>
      </c>
    </row>
    <row r="815" spans="1:12" x14ac:dyDescent="0.35">
      <c r="A815" t="s">
        <v>824</v>
      </c>
      <c r="B815" s="5">
        <v>46321</v>
      </c>
      <c r="C815" t="s">
        <v>1213</v>
      </c>
      <c r="D815" t="s">
        <v>1244</v>
      </c>
      <c r="E815" t="s">
        <v>1782</v>
      </c>
      <c r="F815" t="s">
        <v>1902</v>
      </c>
      <c r="G815" t="s">
        <v>1908</v>
      </c>
      <c r="H815" t="s">
        <v>1918</v>
      </c>
      <c r="I815" s="4">
        <v>96</v>
      </c>
      <c r="J815" s="3">
        <v>466</v>
      </c>
      <c r="K815" s="3">
        <f>Table1[[#This Row],[Quantity Sold]]*Table1[[#This Row],[Unit Price (INR)]]</f>
        <v>44736</v>
      </c>
      <c r="L815" t="s">
        <v>1921</v>
      </c>
    </row>
    <row r="816" spans="1:12" x14ac:dyDescent="0.35">
      <c r="A816" t="s">
        <v>825</v>
      </c>
      <c r="B816" s="5">
        <v>46322</v>
      </c>
      <c r="C816" t="s">
        <v>1216</v>
      </c>
      <c r="D816" t="s">
        <v>1241</v>
      </c>
      <c r="E816" t="s">
        <v>1370</v>
      </c>
      <c r="F816" t="s">
        <v>1906</v>
      </c>
      <c r="G816" t="s">
        <v>1907</v>
      </c>
      <c r="H816" t="s">
        <v>1915</v>
      </c>
      <c r="I816" s="4">
        <v>99</v>
      </c>
      <c r="J816" s="3">
        <v>318</v>
      </c>
      <c r="K816" s="3">
        <f>Table1[[#This Row],[Quantity Sold]]*Table1[[#This Row],[Unit Price (INR)]]</f>
        <v>31482</v>
      </c>
      <c r="L816" t="s">
        <v>1921</v>
      </c>
    </row>
    <row r="817" spans="1:12" x14ac:dyDescent="0.35">
      <c r="A817" t="s">
        <v>826</v>
      </c>
      <c r="B817" s="5">
        <v>46323</v>
      </c>
      <c r="C817" t="s">
        <v>1215</v>
      </c>
      <c r="D817" t="s">
        <v>1242</v>
      </c>
      <c r="E817" t="s">
        <v>1330</v>
      </c>
      <c r="F817" t="s">
        <v>1906</v>
      </c>
      <c r="G817" t="s">
        <v>1908</v>
      </c>
      <c r="H817" t="s">
        <v>1912</v>
      </c>
      <c r="I817" s="4">
        <v>246</v>
      </c>
      <c r="J817" s="3">
        <v>127</v>
      </c>
      <c r="K817" s="3">
        <f>Table1[[#This Row],[Quantity Sold]]*Table1[[#This Row],[Unit Price (INR)]]</f>
        <v>31242</v>
      </c>
      <c r="L817" t="s">
        <v>1923</v>
      </c>
    </row>
    <row r="818" spans="1:12" x14ac:dyDescent="0.35">
      <c r="A818" t="s">
        <v>827</v>
      </c>
      <c r="B818" s="5">
        <v>46324</v>
      </c>
      <c r="C818" t="s">
        <v>1212</v>
      </c>
      <c r="D818" t="s">
        <v>1229</v>
      </c>
      <c r="E818" t="s">
        <v>1681</v>
      </c>
      <c r="F818" t="s">
        <v>1902</v>
      </c>
      <c r="G818" t="s">
        <v>1908</v>
      </c>
      <c r="H818" t="s">
        <v>1919</v>
      </c>
      <c r="I818" s="4">
        <v>399</v>
      </c>
      <c r="J818" s="3">
        <v>265</v>
      </c>
      <c r="K818" s="3">
        <f>Table1[[#This Row],[Quantity Sold]]*Table1[[#This Row],[Unit Price (INR)]]</f>
        <v>105735</v>
      </c>
      <c r="L818" t="s">
        <v>1920</v>
      </c>
    </row>
    <row r="819" spans="1:12" x14ac:dyDescent="0.35">
      <c r="A819" t="s">
        <v>828</v>
      </c>
      <c r="B819" s="5">
        <v>46325</v>
      </c>
      <c r="C819" t="s">
        <v>1213</v>
      </c>
      <c r="D819" t="s">
        <v>1234</v>
      </c>
      <c r="E819" t="s">
        <v>1783</v>
      </c>
      <c r="F819" t="s">
        <v>1898</v>
      </c>
      <c r="G819" t="s">
        <v>1911</v>
      </c>
      <c r="H819" t="s">
        <v>1915</v>
      </c>
      <c r="I819" s="4">
        <v>79</v>
      </c>
      <c r="J819" s="3">
        <v>431</v>
      </c>
      <c r="K819" s="3">
        <f>Table1[[#This Row],[Quantity Sold]]*Table1[[#This Row],[Unit Price (INR)]]</f>
        <v>34049</v>
      </c>
      <c r="L819" t="s">
        <v>1922</v>
      </c>
    </row>
    <row r="820" spans="1:12" x14ac:dyDescent="0.35">
      <c r="A820" t="s">
        <v>829</v>
      </c>
      <c r="B820" s="5">
        <v>46326</v>
      </c>
      <c r="C820" t="s">
        <v>1213</v>
      </c>
      <c r="D820" t="s">
        <v>1223</v>
      </c>
      <c r="E820" t="s">
        <v>1784</v>
      </c>
      <c r="F820" t="s">
        <v>1900</v>
      </c>
      <c r="G820" t="s">
        <v>1908</v>
      </c>
      <c r="H820" t="s">
        <v>1914</v>
      </c>
      <c r="I820" s="4">
        <v>53</v>
      </c>
      <c r="J820" s="3">
        <v>147</v>
      </c>
      <c r="K820" s="3">
        <f>Table1[[#This Row],[Quantity Sold]]*Table1[[#This Row],[Unit Price (INR)]]</f>
        <v>7791</v>
      </c>
      <c r="L820" t="s">
        <v>1921</v>
      </c>
    </row>
    <row r="821" spans="1:12" x14ac:dyDescent="0.35">
      <c r="A821" t="s">
        <v>830</v>
      </c>
      <c r="B821" s="5">
        <v>46327</v>
      </c>
      <c r="C821" t="s">
        <v>1213</v>
      </c>
      <c r="D821" t="s">
        <v>1220</v>
      </c>
      <c r="E821" t="s">
        <v>1430</v>
      </c>
      <c r="F821" t="s">
        <v>1897</v>
      </c>
      <c r="G821" t="s">
        <v>1908</v>
      </c>
      <c r="H821" t="s">
        <v>1919</v>
      </c>
      <c r="I821" s="4">
        <v>209</v>
      </c>
      <c r="J821" s="3">
        <v>285</v>
      </c>
      <c r="K821" s="3">
        <f>Table1[[#This Row],[Quantity Sold]]*Table1[[#This Row],[Unit Price (INR)]]</f>
        <v>59565</v>
      </c>
      <c r="L821" t="s">
        <v>1923</v>
      </c>
    </row>
    <row r="822" spans="1:12" x14ac:dyDescent="0.35">
      <c r="A822" t="s">
        <v>831</v>
      </c>
      <c r="B822" s="5">
        <v>46328</v>
      </c>
      <c r="C822" t="s">
        <v>1211</v>
      </c>
      <c r="D822" t="s">
        <v>1218</v>
      </c>
      <c r="E822" t="s">
        <v>1785</v>
      </c>
      <c r="F822" t="s">
        <v>1897</v>
      </c>
      <c r="G822" t="s">
        <v>1909</v>
      </c>
      <c r="H822" t="s">
        <v>1916</v>
      </c>
      <c r="I822" s="4">
        <v>161</v>
      </c>
      <c r="J822" s="3">
        <v>331</v>
      </c>
      <c r="K822" s="3">
        <f>Table1[[#This Row],[Quantity Sold]]*Table1[[#This Row],[Unit Price (INR)]]</f>
        <v>53291</v>
      </c>
      <c r="L822" t="s">
        <v>1920</v>
      </c>
    </row>
    <row r="823" spans="1:12" x14ac:dyDescent="0.35">
      <c r="A823" t="s">
        <v>832</v>
      </c>
      <c r="B823" s="5">
        <v>46329</v>
      </c>
      <c r="C823" t="s">
        <v>1213</v>
      </c>
      <c r="D823" t="s">
        <v>1234</v>
      </c>
      <c r="E823" t="s">
        <v>1786</v>
      </c>
      <c r="F823" t="s">
        <v>1902</v>
      </c>
      <c r="G823" t="s">
        <v>1910</v>
      </c>
      <c r="H823" t="s">
        <v>1913</v>
      </c>
      <c r="I823" s="4">
        <v>95</v>
      </c>
      <c r="J823" s="3">
        <v>198</v>
      </c>
      <c r="K823" s="3">
        <f>Table1[[#This Row],[Quantity Sold]]*Table1[[#This Row],[Unit Price (INR)]]</f>
        <v>18810</v>
      </c>
      <c r="L823" t="s">
        <v>1921</v>
      </c>
    </row>
    <row r="824" spans="1:12" x14ac:dyDescent="0.35">
      <c r="A824" t="s">
        <v>833</v>
      </c>
      <c r="B824" s="5">
        <v>46330</v>
      </c>
      <c r="C824" t="s">
        <v>1216</v>
      </c>
      <c r="D824" t="s">
        <v>1230</v>
      </c>
      <c r="E824" t="s">
        <v>1787</v>
      </c>
      <c r="F824" t="s">
        <v>1906</v>
      </c>
      <c r="G824" t="s">
        <v>1911</v>
      </c>
      <c r="H824" t="s">
        <v>1919</v>
      </c>
      <c r="I824" s="4">
        <v>28</v>
      </c>
      <c r="J824" s="3">
        <v>461</v>
      </c>
      <c r="K824" s="3">
        <f>Table1[[#This Row],[Quantity Sold]]*Table1[[#This Row],[Unit Price (INR)]]</f>
        <v>12908</v>
      </c>
      <c r="L824" t="s">
        <v>1920</v>
      </c>
    </row>
    <row r="825" spans="1:12" x14ac:dyDescent="0.35">
      <c r="A825" t="s">
        <v>834</v>
      </c>
      <c r="B825" s="5">
        <v>46331</v>
      </c>
      <c r="C825" t="s">
        <v>1213</v>
      </c>
      <c r="D825" t="s">
        <v>1244</v>
      </c>
      <c r="E825" t="s">
        <v>1469</v>
      </c>
      <c r="F825" t="s">
        <v>1904</v>
      </c>
      <c r="G825" t="s">
        <v>1911</v>
      </c>
      <c r="H825" t="s">
        <v>1912</v>
      </c>
      <c r="I825" s="4">
        <v>110</v>
      </c>
      <c r="J825" s="3">
        <v>353</v>
      </c>
      <c r="K825" s="3">
        <f>Table1[[#This Row],[Quantity Sold]]*Table1[[#This Row],[Unit Price (INR)]]</f>
        <v>38830</v>
      </c>
      <c r="L825" t="s">
        <v>1920</v>
      </c>
    </row>
    <row r="826" spans="1:12" x14ac:dyDescent="0.35">
      <c r="A826" t="s">
        <v>835</v>
      </c>
      <c r="B826" s="5">
        <v>46332</v>
      </c>
      <c r="C826" t="s">
        <v>1214</v>
      </c>
      <c r="D826" t="s">
        <v>1228</v>
      </c>
      <c r="E826" t="s">
        <v>1650</v>
      </c>
      <c r="F826" t="s">
        <v>1902</v>
      </c>
      <c r="G826" t="s">
        <v>1911</v>
      </c>
      <c r="H826" t="s">
        <v>1913</v>
      </c>
      <c r="I826" s="4">
        <v>411</v>
      </c>
      <c r="J826" s="3">
        <v>473</v>
      </c>
      <c r="K826" s="3">
        <f>Table1[[#This Row],[Quantity Sold]]*Table1[[#This Row],[Unit Price (INR)]]</f>
        <v>194403</v>
      </c>
      <c r="L826" t="s">
        <v>1921</v>
      </c>
    </row>
    <row r="827" spans="1:12" x14ac:dyDescent="0.35">
      <c r="A827" t="s">
        <v>836</v>
      </c>
      <c r="B827" s="5">
        <v>46333</v>
      </c>
      <c r="C827" t="s">
        <v>1212</v>
      </c>
      <c r="D827" t="s">
        <v>1229</v>
      </c>
      <c r="E827" t="s">
        <v>1783</v>
      </c>
      <c r="F827" t="s">
        <v>1900</v>
      </c>
      <c r="G827" t="s">
        <v>1909</v>
      </c>
      <c r="H827" t="s">
        <v>1914</v>
      </c>
      <c r="I827" s="4">
        <v>104</v>
      </c>
      <c r="J827" s="3">
        <v>115</v>
      </c>
      <c r="K827" s="3">
        <f>Table1[[#This Row],[Quantity Sold]]*Table1[[#This Row],[Unit Price (INR)]]</f>
        <v>11960</v>
      </c>
      <c r="L827" t="s">
        <v>1921</v>
      </c>
    </row>
    <row r="828" spans="1:12" x14ac:dyDescent="0.35">
      <c r="A828" t="s">
        <v>837</v>
      </c>
      <c r="B828" s="5">
        <v>46334</v>
      </c>
      <c r="C828" t="s">
        <v>1213</v>
      </c>
      <c r="D828" t="s">
        <v>1220</v>
      </c>
      <c r="E828" t="s">
        <v>1444</v>
      </c>
      <c r="F828" t="s">
        <v>1902</v>
      </c>
      <c r="G828" t="s">
        <v>1908</v>
      </c>
      <c r="H828" t="s">
        <v>1918</v>
      </c>
      <c r="I828" s="4">
        <v>263</v>
      </c>
      <c r="J828" s="3">
        <v>283</v>
      </c>
      <c r="K828" s="3">
        <f>Table1[[#This Row],[Quantity Sold]]*Table1[[#This Row],[Unit Price (INR)]]</f>
        <v>74429</v>
      </c>
      <c r="L828" t="s">
        <v>1921</v>
      </c>
    </row>
    <row r="829" spans="1:12" x14ac:dyDescent="0.35">
      <c r="A829" t="s">
        <v>838</v>
      </c>
      <c r="B829" s="5">
        <v>46335</v>
      </c>
      <c r="C829" t="s">
        <v>1212</v>
      </c>
      <c r="D829" t="s">
        <v>1233</v>
      </c>
      <c r="E829" t="s">
        <v>1788</v>
      </c>
      <c r="F829" t="s">
        <v>1899</v>
      </c>
      <c r="G829" t="s">
        <v>1910</v>
      </c>
      <c r="H829" t="s">
        <v>1913</v>
      </c>
      <c r="I829" s="4">
        <v>366</v>
      </c>
      <c r="J829" s="3">
        <v>136</v>
      </c>
      <c r="K829" s="3">
        <f>Table1[[#This Row],[Quantity Sold]]*Table1[[#This Row],[Unit Price (INR)]]</f>
        <v>49776</v>
      </c>
      <c r="L829" t="s">
        <v>1920</v>
      </c>
    </row>
    <row r="830" spans="1:12" x14ac:dyDescent="0.35">
      <c r="A830" t="s">
        <v>839</v>
      </c>
      <c r="B830" s="5">
        <v>46336</v>
      </c>
      <c r="C830" t="s">
        <v>1214</v>
      </c>
      <c r="D830" t="s">
        <v>1222</v>
      </c>
      <c r="E830" t="s">
        <v>1789</v>
      </c>
      <c r="F830" t="s">
        <v>1905</v>
      </c>
      <c r="G830" t="s">
        <v>1907</v>
      </c>
      <c r="H830" t="s">
        <v>1915</v>
      </c>
      <c r="I830" s="4">
        <v>39</v>
      </c>
      <c r="J830" s="3">
        <v>128</v>
      </c>
      <c r="K830" s="3">
        <f>Table1[[#This Row],[Quantity Sold]]*Table1[[#This Row],[Unit Price (INR)]]</f>
        <v>4992</v>
      </c>
      <c r="L830" t="s">
        <v>1920</v>
      </c>
    </row>
    <row r="831" spans="1:12" x14ac:dyDescent="0.35">
      <c r="A831" t="s">
        <v>840</v>
      </c>
      <c r="B831" s="5">
        <v>46337</v>
      </c>
      <c r="C831" t="s">
        <v>1214</v>
      </c>
      <c r="D831" t="s">
        <v>1227</v>
      </c>
      <c r="E831" t="s">
        <v>1790</v>
      </c>
      <c r="F831" t="s">
        <v>1906</v>
      </c>
      <c r="G831" t="s">
        <v>1908</v>
      </c>
      <c r="H831" t="s">
        <v>1917</v>
      </c>
      <c r="I831" s="4">
        <v>258</v>
      </c>
      <c r="J831" s="3">
        <v>254</v>
      </c>
      <c r="K831" s="3">
        <f>Table1[[#This Row],[Quantity Sold]]*Table1[[#This Row],[Unit Price (INR)]]</f>
        <v>65532</v>
      </c>
      <c r="L831" t="s">
        <v>1923</v>
      </c>
    </row>
    <row r="832" spans="1:12" x14ac:dyDescent="0.35">
      <c r="A832" t="s">
        <v>841</v>
      </c>
      <c r="B832" s="5">
        <v>46338</v>
      </c>
      <c r="C832" t="s">
        <v>1212</v>
      </c>
      <c r="D832" t="s">
        <v>1240</v>
      </c>
      <c r="E832" t="s">
        <v>1277</v>
      </c>
      <c r="F832" t="s">
        <v>1903</v>
      </c>
      <c r="G832" t="s">
        <v>1909</v>
      </c>
      <c r="H832" t="s">
        <v>1919</v>
      </c>
      <c r="I832" s="4">
        <v>435</v>
      </c>
      <c r="J832" s="3">
        <v>328</v>
      </c>
      <c r="K832" s="3">
        <f>Table1[[#This Row],[Quantity Sold]]*Table1[[#This Row],[Unit Price (INR)]]</f>
        <v>142680</v>
      </c>
      <c r="L832" t="s">
        <v>1922</v>
      </c>
    </row>
    <row r="833" spans="1:12" x14ac:dyDescent="0.35">
      <c r="A833" t="s">
        <v>842</v>
      </c>
      <c r="B833" s="5">
        <v>46339</v>
      </c>
      <c r="C833" t="s">
        <v>1217</v>
      </c>
      <c r="D833" t="s">
        <v>1238</v>
      </c>
      <c r="E833" t="s">
        <v>1442</v>
      </c>
      <c r="F833" t="s">
        <v>1903</v>
      </c>
      <c r="G833" t="s">
        <v>1908</v>
      </c>
      <c r="H833" t="s">
        <v>1914</v>
      </c>
      <c r="I833" s="4">
        <v>42</v>
      </c>
      <c r="J833" s="3">
        <v>386</v>
      </c>
      <c r="K833" s="3">
        <f>Table1[[#This Row],[Quantity Sold]]*Table1[[#This Row],[Unit Price (INR)]]</f>
        <v>16212</v>
      </c>
      <c r="L833" t="s">
        <v>1920</v>
      </c>
    </row>
    <row r="834" spans="1:12" x14ac:dyDescent="0.35">
      <c r="A834" t="s">
        <v>843</v>
      </c>
      <c r="B834" s="5">
        <v>46340</v>
      </c>
      <c r="C834" t="s">
        <v>1215</v>
      </c>
      <c r="D834" t="s">
        <v>1236</v>
      </c>
      <c r="E834" t="s">
        <v>1317</v>
      </c>
      <c r="F834" t="s">
        <v>1906</v>
      </c>
      <c r="G834" t="s">
        <v>1908</v>
      </c>
      <c r="H834" t="s">
        <v>1914</v>
      </c>
      <c r="I834" s="4">
        <v>467</v>
      </c>
      <c r="J834" s="3">
        <v>303</v>
      </c>
      <c r="K834" s="3">
        <f>Table1[[#This Row],[Quantity Sold]]*Table1[[#This Row],[Unit Price (INR)]]</f>
        <v>141501</v>
      </c>
      <c r="L834" t="s">
        <v>1922</v>
      </c>
    </row>
    <row r="835" spans="1:12" x14ac:dyDescent="0.35">
      <c r="A835" t="s">
        <v>844</v>
      </c>
      <c r="B835" s="5">
        <v>46341</v>
      </c>
      <c r="C835" t="s">
        <v>1211</v>
      </c>
      <c r="D835" t="s">
        <v>1224</v>
      </c>
      <c r="E835" t="s">
        <v>1791</v>
      </c>
      <c r="F835" t="s">
        <v>1900</v>
      </c>
      <c r="G835" t="s">
        <v>1909</v>
      </c>
      <c r="H835" t="s">
        <v>1913</v>
      </c>
      <c r="I835" s="4">
        <v>238</v>
      </c>
      <c r="J835" s="3">
        <v>353</v>
      </c>
      <c r="K835" s="3">
        <f>Table1[[#This Row],[Quantity Sold]]*Table1[[#This Row],[Unit Price (INR)]]</f>
        <v>84014</v>
      </c>
      <c r="L835" t="s">
        <v>1921</v>
      </c>
    </row>
    <row r="836" spans="1:12" x14ac:dyDescent="0.35">
      <c r="A836" t="s">
        <v>845</v>
      </c>
      <c r="B836" s="5">
        <v>46342</v>
      </c>
      <c r="C836" t="s">
        <v>1217</v>
      </c>
      <c r="D836" t="s">
        <v>1246</v>
      </c>
      <c r="E836" t="s">
        <v>1792</v>
      </c>
      <c r="F836" t="s">
        <v>1899</v>
      </c>
      <c r="G836" t="s">
        <v>1911</v>
      </c>
      <c r="H836" t="s">
        <v>1918</v>
      </c>
      <c r="I836" s="4">
        <v>21</v>
      </c>
      <c r="J836" s="3">
        <v>429</v>
      </c>
      <c r="K836" s="3">
        <f>Table1[[#This Row],[Quantity Sold]]*Table1[[#This Row],[Unit Price (INR)]]</f>
        <v>9009</v>
      </c>
      <c r="L836" t="s">
        <v>1920</v>
      </c>
    </row>
    <row r="837" spans="1:12" x14ac:dyDescent="0.35">
      <c r="A837" t="s">
        <v>846</v>
      </c>
      <c r="B837" s="5">
        <v>46343</v>
      </c>
      <c r="C837" t="s">
        <v>1217</v>
      </c>
      <c r="D837" t="s">
        <v>1238</v>
      </c>
      <c r="E837" t="s">
        <v>1365</v>
      </c>
      <c r="F837" t="s">
        <v>1899</v>
      </c>
      <c r="G837" t="s">
        <v>1911</v>
      </c>
      <c r="H837" t="s">
        <v>1916</v>
      </c>
      <c r="I837" s="4">
        <v>127</v>
      </c>
      <c r="J837" s="3">
        <v>179</v>
      </c>
      <c r="K837" s="3">
        <f>Table1[[#This Row],[Quantity Sold]]*Table1[[#This Row],[Unit Price (INR)]]</f>
        <v>22733</v>
      </c>
      <c r="L837" t="s">
        <v>1923</v>
      </c>
    </row>
    <row r="838" spans="1:12" x14ac:dyDescent="0.35">
      <c r="A838" t="s">
        <v>847</v>
      </c>
      <c r="B838" s="5">
        <v>46344</v>
      </c>
      <c r="C838" t="s">
        <v>1216</v>
      </c>
      <c r="D838" t="s">
        <v>1241</v>
      </c>
      <c r="E838" t="s">
        <v>1345</v>
      </c>
      <c r="F838" t="s">
        <v>1898</v>
      </c>
      <c r="G838" t="s">
        <v>1910</v>
      </c>
      <c r="H838" t="s">
        <v>1919</v>
      </c>
      <c r="I838" s="4">
        <v>359</v>
      </c>
      <c r="J838" s="3">
        <v>133</v>
      </c>
      <c r="K838" s="3">
        <f>Table1[[#This Row],[Quantity Sold]]*Table1[[#This Row],[Unit Price (INR)]]</f>
        <v>47747</v>
      </c>
      <c r="L838" t="s">
        <v>1923</v>
      </c>
    </row>
    <row r="839" spans="1:12" x14ac:dyDescent="0.35">
      <c r="A839" t="s">
        <v>848</v>
      </c>
      <c r="B839" s="5">
        <v>46345</v>
      </c>
      <c r="C839" t="s">
        <v>1211</v>
      </c>
      <c r="D839" t="s">
        <v>1221</v>
      </c>
      <c r="E839" t="s">
        <v>1527</v>
      </c>
      <c r="F839" t="s">
        <v>1905</v>
      </c>
      <c r="G839" t="s">
        <v>1910</v>
      </c>
      <c r="H839" t="s">
        <v>1914</v>
      </c>
      <c r="I839" s="4">
        <v>164</v>
      </c>
      <c r="J839" s="3">
        <v>325</v>
      </c>
      <c r="K839" s="3">
        <f>Table1[[#This Row],[Quantity Sold]]*Table1[[#This Row],[Unit Price (INR)]]</f>
        <v>53300</v>
      </c>
      <c r="L839" t="s">
        <v>1922</v>
      </c>
    </row>
    <row r="840" spans="1:12" x14ac:dyDescent="0.35">
      <c r="A840" t="s">
        <v>849</v>
      </c>
      <c r="B840" s="5">
        <v>46346</v>
      </c>
      <c r="C840" t="s">
        <v>1211</v>
      </c>
      <c r="D840" t="s">
        <v>1218</v>
      </c>
      <c r="E840" t="s">
        <v>1793</v>
      </c>
      <c r="F840" t="s">
        <v>1897</v>
      </c>
      <c r="G840" t="s">
        <v>1911</v>
      </c>
      <c r="H840" t="s">
        <v>1918</v>
      </c>
      <c r="I840" s="4">
        <v>432</v>
      </c>
      <c r="J840" s="3">
        <v>236</v>
      </c>
      <c r="K840" s="3">
        <f>Table1[[#This Row],[Quantity Sold]]*Table1[[#This Row],[Unit Price (INR)]]</f>
        <v>101952</v>
      </c>
      <c r="L840" t="s">
        <v>1921</v>
      </c>
    </row>
    <row r="841" spans="1:12" x14ac:dyDescent="0.35">
      <c r="A841" t="s">
        <v>850</v>
      </c>
      <c r="B841" s="5">
        <v>46347</v>
      </c>
      <c r="C841" t="s">
        <v>1217</v>
      </c>
      <c r="D841" t="s">
        <v>1246</v>
      </c>
      <c r="E841" t="s">
        <v>1794</v>
      </c>
      <c r="F841" t="s">
        <v>1901</v>
      </c>
      <c r="G841" t="s">
        <v>1907</v>
      </c>
      <c r="H841" t="s">
        <v>1917</v>
      </c>
      <c r="I841" s="4">
        <v>402</v>
      </c>
      <c r="J841" s="3">
        <v>95</v>
      </c>
      <c r="K841" s="3">
        <f>Table1[[#This Row],[Quantity Sold]]*Table1[[#This Row],[Unit Price (INR)]]</f>
        <v>38190</v>
      </c>
      <c r="L841" t="s">
        <v>1922</v>
      </c>
    </row>
    <row r="842" spans="1:12" x14ac:dyDescent="0.35">
      <c r="A842" t="s">
        <v>851</v>
      </c>
      <c r="B842" s="5">
        <v>46348</v>
      </c>
      <c r="C842" t="s">
        <v>1213</v>
      </c>
      <c r="D842" t="s">
        <v>1223</v>
      </c>
      <c r="E842" t="s">
        <v>1795</v>
      </c>
      <c r="F842" t="s">
        <v>1900</v>
      </c>
      <c r="G842" t="s">
        <v>1908</v>
      </c>
      <c r="H842" t="s">
        <v>1914</v>
      </c>
      <c r="I842" s="4">
        <v>255</v>
      </c>
      <c r="J842" s="3">
        <v>436</v>
      </c>
      <c r="K842" s="3">
        <f>Table1[[#This Row],[Quantity Sold]]*Table1[[#This Row],[Unit Price (INR)]]</f>
        <v>111180</v>
      </c>
      <c r="L842" t="s">
        <v>1921</v>
      </c>
    </row>
    <row r="843" spans="1:12" x14ac:dyDescent="0.35">
      <c r="A843" t="s">
        <v>852</v>
      </c>
      <c r="B843" s="5">
        <v>46349</v>
      </c>
      <c r="C843" t="s">
        <v>1216</v>
      </c>
      <c r="D843" t="s">
        <v>1241</v>
      </c>
      <c r="E843" t="s">
        <v>1685</v>
      </c>
      <c r="F843" t="s">
        <v>1901</v>
      </c>
      <c r="G843" t="s">
        <v>1907</v>
      </c>
      <c r="H843" t="s">
        <v>1918</v>
      </c>
      <c r="I843" s="4">
        <v>414</v>
      </c>
      <c r="J843" s="3">
        <v>232</v>
      </c>
      <c r="K843" s="3">
        <f>Table1[[#This Row],[Quantity Sold]]*Table1[[#This Row],[Unit Price (INR)]]</f>
        <v>96048</v>
      </c>
      <c r="L843" t="s">
        <v>1923</v>
      </c>
    </row>
    <row r="844" spans="1:12" x14ac:dyDescent="0.35">
      <c r="A844" t="s">
        <v>853</v>
      </c>
      <c r="B844" s="5">
        <v>46350</v>
      </c>
      <c r="C844" t="s">
        <v>1216</v>
      </c>
      <c r="D844" t="s">
        <v>1230</v>
      </c>
      <c r="E844" t="s">
        <v>1489</v>
      </c>
      <c r="F844" t="s">
        <v>1901</v>
      </c>
      <c r="G844" t="s">
        <v>1908</v>
      </c>
      <c r="H844" t="s">
        <v>1912</v>
      </c>
      <c r="I844" s="4">
        <v>341</v>
      </c>
      <c r="J844" s="3">
        <v>317</v>
      </c>
      <c r="K844" s="3">
        <f>Table1[[#This Row],[Quantity Sold]]*Table1[[#This Row],[Unit Price (INR)]]</f>
        <v>108097</v>
      </c>
      <c r="L844" t="s">
        <v>1922</v>
      </c>
    </row>
    <row r="845" spans="1:12" x14ac:dyDescent="0.35">
      <c r="A845" t="s">
        <v>854</v>
      </c>
      <c r="B845" s="5">
        <v>46351</v>
      </c>
      <c r="C845" t="s">
        <v>1214</v>
      </c>
      <c r="D845" t="s">
        <v>1228</v>
      </c>
      <c r="E845" t="s">
        <v>1267</v>
      </c>
      <c r="F845" t="s">
        <v>1906</v>
      </c>
      <c r="G845" t="s">
        <v>1911</v>
      </c>
      <c r="H845" t="s">
        <v>1916</v>
      </c>
      <c r="I845" s="4">
        <v>256</v>
      </c>
      <c r="J845" s="3">
        <v>345</v>
      </c>
      <c r="K845" s="3">
        <f>Table1[[#This Row],[Quantity Sold]]*Table1[[#This Row],[Unit Price (INR)]]</f>
        <v>88320</v>
      </c>
      <c r="L845" t="s">
        <v>1923</v>
      </c>
    </row>
    <row r="846" spans="1:12" x14ac:dyDescent="0.35">
      <c r="A846" t="s">
        <v>855</v>
      </c>
      <c r="B846" s="5">
        <v>46352</v>
      </c>
      <c r="C846" t="s">
        <v>1211</v>
      </c>
      <c r="D846" t="s">
        <v>1218</v>
      </c>
      <c r="E846" t="s">
        <v>1455</v>
      </c>
      <c r="F846" t="s">
        <v>1903</v>
      </c>
      <c r="G846" t="s">
        <v>1910</v>
      </c>
      <c r="H846" t="s">
        <v>1916</v>
      </c>
      <c r="I846" s="4">
        <v>38</v>
      </c>
      <c r="J846" s="3">
        <v>371</v>
      </c>
      <c r="K846" s="3">
        <f>Table1[[#This Row],[Quantity Sold]]*Table1[[#This Row],[Unit Price (INR)]]</f>
        <v>14098</v>
      </c>
      <c r="L846" t="s">
        <v>1923</v>
      </c>
    </row>
    <row r="847" spans="1:12" x14ac:dyDescent="0.35">
      <c r="A847" t="s">
        <v>856</v>
      </c>
      <c r="B847" s="5">
        <v>46353</v>
      </c>
      <c r="C847" t="s">
        <v>1217</v>
      </c>
      <c r="D847" t="s">
        <v>1237</v>
      </c>
      <c r="E847" t="s">
        <v>1359</v>
      </c>
      <c r="F847" t="s">
        <v>1903</v>
      </c>
      <c r="G847" t="s">
        <v>1910</v>
      </c>
      <c r="H847" t="s">
        <v>1914</v>
      </c>
      <c r="I847" s="4">
        <v>170</v>
      </c>
      <c r="J847" s="3">
        <v>149</v>
      </c>
      <c r="K847" s="3">
        <f>Table1[[#This Row],[Quantity Sold]]*Table1[[#This Row],[Unit Price (INR)]]</f>
        <v>25330</v>
      </c>
      <c r="L847" t="s">
        <v>1921</v>
      </c>
    </row>
    <row r="848" spans="1:12" x14ac:dyDescent="0.35">
      <c r="A848" t="s">
        <v>857</v>
      </c>
      <c r="B848" s="5">
        <v>46354</v>
      </c>
      <c r="C848" t="s">
        <v>1214</v>
      </c>
      <c r="D848" t="s">
        <v>1222</v>
      </c>
      <c r="E848" t="s">
        <v>1796</v>
      </c>
      <c r="F848" t="s">
        <v>1897</v>
      </c>
      <c r="G848" t="s">
        <v>1907</v>
      </c>
      <c r="H848" t="s">
        <v>1915</v>
      </c>
      <c r="I848" s="4">
        <v>244</v>
      </c>
      <c r="J848" s="3">
        <v>127</v>
      </c>
      <c r="K848" s="3">
        <f>Table1[[#This Row],[Quantity Sold]]*Table1[[#This Row],[Unit Price (INR)]]</f>
        <v>30988</v>
      </c>
      <c r="L848" t="s">
        <v>1922</v>
      </c>
    </row>
    <row r="849" spans="1:12" x14ac:dyDescent="0.35">
      <c r="A849" t="s">
        <v>858</v>
      </c>
      <c r="B849" s="5">
        <v>46355</v>
      </c>
      <c r="C849" t="s">
        <v>1212</v>
      </c>
      <c r="D849" t="s">
        <v>1240</v>
      </c>
      <c r="E849" t="s">
        <v>1314</v>
      </c>
      <c r="F849" t="s">
        <v>1906</v>
      </c>
      <c r="G849" t="s">
        <v>1910</v>
      </c>
      <c r="H849" t="s">
        <v>1914</v>
      </c>
      <c r="I849" s="4">
        <v>199</v>
      </c>
      <c r="J849" s="3">
        <v>321</v>
      </c>
      <c r="K849" s="3">
        <f>Table1[[#This Row],[Quantity Sold]]*Table1[[#This Row],[Unit Price (INR)]]</f>
        <v>63879</v>
      </c>
      <c r="L849" t="s">
        <v>1922</v>
      </c>
    </row>
    <row r="850" spans="1:12" x14ac:dyDescent="0.35">
      <c r="A850" t="s">
        <v>859</v>
      </c>
      <c r="B850" s="5">
        <v>46356</v>
      </c>
      <c r="C850" t="s">
        <v>1215</v>
      </c>
      <c r="D850" t="s">
        <v>1231</v>
      </c>
      <c r="E850" t="s">
        <v>1575</v>
      </c>
      <c r="F850" t="s">
        <v>1901</v>
      </c>
      <c r="G850" t="s">
        <v>1911</v>
      </c>
      <c r="H850" t="s">
        <v>1913</v>
      </c>
      <c r="I850" s="4">
        <v>126</v>
      </c>
      <c r="J850" s="3">
        <v>388</v>
      </c>
      <c r="K850" s="3">
        <f>Table1[[#This Row],[Quantity Sold]]*Table1[[#This Row],[Unit Price (INR)]]</f>
        <v>48888</v>
      </c>
      <c r="L850" t="s">
        <v>1923</v>
      </c>
    </row>
    <row r="851" spans="1:12" x14ac:dyDescent="0.35">
      <c r="A851" t="s">
        <v>860</v>
      </c>
      <c r="B851" s="5">
        <v>46357</v>
      </c>
      <c r="C851" t="s">
        <v>1216</v>
      </c>
      <c r="D851" t="s">
        <v>1230</v>
      </c>
      <c r="E851" t="s">
        <v>1510</v>
      </c>
      <c r="F851" t="s">
        <v>1904</v>
      </c>
      <c r="G851" t="s">
        <v>1907</v>
      </c>
      <c r="H851" t="s">
        <v>1919</v>
      </c>
      <c r="I851" s="4">
        <v>280</v>
      </c>
      <c r="J851" s="3">
        <v>211</v>
      </c>
      <c r="K851" s="3">
        <f>Table1[[#This Row],[Quantity Sold]]*Table1[[#This Row],[Unit Price (INR)]]</f>
        <v>59080</v>
      </c>
      <c r="L851" t="s">
        <v>1923</v>
      </c>
    </row>
    <row r="852" spans="1:12" x14ac:dyDescent="0.35">
      <c r="A852" t="s">
        <v>861</v>
      </c>
      <c r="B852" s="5">
        <v>46358</v>
      </c>
      <c r="C852" t="s">
        <v>1212</v>
      </c>
      <c r="D852" t="s">
        <v>1240</v>
      </c>
      <c r="E852" t="s">
        <v>1661</v>
      </c>
      <c r="F852" t="s">
        <v>1903</v>
      </c>
      <c r="G852" t="s">
        <v>1908</v>
      </c>
      <c r="H852" t="s">
        <v>1918</v>
      </c>
      <c r="I852" s="4">
        <v>267</v>
      </c>
      <c r="J852" s="3">
        <v>93</v>
      </c>
      <c r="K852" s="3">
        <f>Table1[[#This Row],[Quantity Sold]]*Table1[[#This Row],[Unit Price (INR)]]</f>
        <v>24831</v>
      </c>
      <c r="L852" t="s">
        <v>1921</v>
      </c>
    </row>
    <row r="853" spans="1:12" x14ac:dyDescent="0.35">
      <c r="A853" t="s">
        <v>862</v>
      </c>
      <c r="B853" s="5">
        <v>46359</v>
      </c>
      <c r="C853" t="s">
        <v>1212</v>
      </c>
      <c r="D853" t="s">
        <v>1219</v>
      </c>
      <c r="E853" t="s">
        <v>1249</v>
      </c>
      <c r="F853" t="s">
        <v>1900</v>
      </c>
      <c r="G853" t="s">
        <v>1910</v>
      </c>
      <c r="H853" t="s">
        <v>1914</v>
      </c>
      <c r="I853" s="4">
        <v>189</v>
      </c>
      <c r="J853" s="3">
        <v>287</v>
      </c>
      <c r="K853" s="3">
        <f>Table1[[#This Row],[Quantity Sold]]*Table1[[#This Row],[Unit Price (INR)]]</f>
        <v>54243</v>
      </c>
      <c r="L853" t="s">
        <v>1920</v>
      </c>
    </row>
    <row r="854" spans="1:12" x14ac:dyDescent="0.35">
      <c r="A854" t="s">
        <v>863</v>
      </c>
      <c r="B854" s="5">
        <v>46360</v>
      </c>
      <c r="C854" t="s">
        <v>1213</v>
      </c>
      <c r="D854" t="s">
        <v>1234</v>
      </c>
      <c r="E854" t="s">
        <v>1287</v>
      </c>
      <c r="F854" t="s">
        <v>1900</v>
      </c>
      <c r="G854" t="s">
        <v>1909</v>
      </c>
      <c r="H854" t="s">
        <v>1919</v>
      </c>
      <c r="I854" s="4">
        <v>496</v>
      </c>
      <c r="J854" s="3">
        <v>183</v>
      </c>
      <c r="K854" s="3">
        <f>Table1[[#This Row],[Quantity Sold]]*Table1[[#This Row],[Unit Price (INR)]]</f>
        <v>90768</v>
      </c>
      <c r="L854" t="s">
        <v>1920</v>
      </c>
    </row>
    <row r="855" spans="1:12" x14ac:dyDescent="0.35">
      <c r="A855" t="s">
        <v>864</v>
      </c>
      <c r="B855" s="5">
        <v>46361</v>
      </c>
      <c r="C855" t="s">
        <v>1215</v>
      </c>
      <c r="D855" t="s">
        <v>1225</v>
      </c>
      <c r="E855" t="s">
        <v>1755</v>
      </c>
      <c r="F855" t="s">
        <v>1898</v>
      </c>
      <c r="G855" t="s">
        <v>1910</v>
      </c>
      <c r="H855" t="s">
        <v>1913</v>
      </c>
      <c r="I855" s="4">
        <v>382</v>
      </c>
      <c r="J855" s="3">
        <v>241</v>
      </c>
      <c r="K855" s="3">
        <f>Table1[[#This Row],[Quantity Sold]]*Table1[[#This Row],[Unit Price (INR)]]</f>
        <v>92062</v>
      </c>
      <c r="L855" t="s">
        <v>1923</v>
      </c>
    </row>
    <row r="856" spans="1:12" x14ac:dyDescent="0.35">
      <c r="A856" t="s">
        <v>865</v>
      </c>
      <c r="B856" s="5">
        <v>46362</v>
      </c>
      <c r="C856" t="s">
        <v>1212</v>
      </c>
      <c r="D856" t="s">
        <v>1233</v>
      </c>
      <c r="E856" t="s">
        <v>1797</v>
      </c>
      <c r="F856" t="s">
        <v>1902</v>
      </c>
      <c r="G856" t="s">
        <v>1908</v>
      </c>
      <c r="H856" t="s">
        <v>1912</v>
      </c>
      <c r="I856" s="4">
        <v>181</v>
      </c>
      <c r="J856" s="3">
        <v>405</v>
      </c>
      <c r="K856" s="3">
        <f>Table1[[#This Row],[Quantity Sold]]*Table1[[#This Row],[Unit Price (INR)]]</f>
        <v>73305</v>
      </c>
      <c r="L856" t="s">
        <v>1920</v>
      </c>
    </row>
    <row r="857" spans="1:12" x14ac:dyDescent="0.35">
      <c r="A857" t="s">
        <v>866</v>
      </c>
      <c r="B857" s="5">
        <v>46363</v>
      </c>
      <c r="C857" t="s">
        <v>1212</v>
      </c>
      <c r="D857" t="s">
        <v>1240</v>
      </c>
      <c r="E857" t="s">
        <v>1726</v>
      </c>
      <c r="F857" t="s">
        <v>1904</v>
      </c>
      <c r="G857" t="s">
        <v>1907</v>
      </c>
      <c r="H857" t="s">
        <v>1912</v>
      </c>
      <c r="I857" s="4">
        <v>447</v>
      </c>
      <c r="J857" s="3">
        <v>327</v>
      </c>
      <c r="K857" s="3">
        <f>Table1[[#This Row],[Quantity Sold]]*Table1[[#This Row],[Unit Price (INR)]]</f>
        <v>146169</v>
      </c>
      <c r="L857" t="s">
        <v>1920</v>
      </c>
    </row>
    <row r="858" spans="1:12" x14ac:dyDescent="0.35">
      <c r="A858" t="s">
        <v>867</v>
      </c>
      <c r="B858" s="5">
        <v>46364</v>
      </c>
      <c r="C858" t="s">
        <v>1215</v>
      </c>
      <c r="D858" t="s">
        <v>1231</v>
      </c>
      <c r="E858" t="s">
        <v>1659</v>
      </c>
      <c r="F858" t="s">
        <v>1903</v>
      </c>
      <c r="G858" t="s">
        <v>1908</v>
      </c>
      <c r="H858" t="s">
        <v>1919</v>
      </c>
      <c r="I858" s="4">
        <v>283</v>
      </c>
      <c r="J858" s="3">
        <v>67</v>
      </c>
      <c r="K858" s="3">
        <f>Table1[[#This Row],[Quantity Sold]]*Table1[[#This Row],[Unit Price (INR)]]</f>
        <v>18961</v>
      </c>
      <c r="L858" t="s">
        <v>1920</v>
      </c>
    </row>
    <row r="859" spans="1:12" x14ac:dyDescent="0.35">
      <c r="A859" t="s">
        <v>868</v>
      </c>
      <c r="B859" s="5">
        <v>46365</v>
      </c>
      <c r="C859" t="s">
        <v>1215</v>
      </c>
      <c r="D859" t="s">
        <v>1242</v>
      </c>
      <c r="E859" t="s">
        <v>1463</v>
      </c>
      <c r="F859" t="s">
        <v>1899</v>
      </c>
      <c r="G859" t="s">
        <v>1909</v>
      </c>
      <c r="H859" t="s">
        <v>1914</v>
      </c>
      <c r="I859" s="4">
        <v>268</v>
      </c>
      <c r="J859" s="3">
        <v>61</v>
      </c>
      <c r="K859" s="3">
        <f>Table1[[#This Row],[Quantity Sold]]*Table1[[#This Row],[Unit Price (INR)]]</f>
        <v>16348</v>
      </c>
      <c r="L859" t="s">
        <v>1920</v>
      </c>
    </row>
    <row r="860" spans="1:12" x14ac:dyDescent="0.35">
      <c r="A860" t="s">
        <v>869</v>
      </c>
      <c r="B860" s="5">
        <v>46366</v>
      </c>
      <c r="C860" t="s">
        <v>1212</v>
      </c>
      <c r="D860" t="s">
        <v>1233</v>
      </c>
      <c r="E860" t="s">
        <v>1369</v>
      </c>
      <c r="F860" t="s">
        <v>1903</v>
      </c>
      <c r="G860" t="s">
        <v>1911</v>
      </c>
      <c r="H860" t="s">
        <v>1916</v>
      </c>
      <c r="I860" s="4">
        <v>144</v>
      </c>
      <c r="J860" s="3">
        <v>229</v>
      </c>
      <c r="K860" s="3">
        <f>Table1[[#This Row],[Quantity Sold]]*Table1[[#This Row],[Unit Price (INR)]]</f>
        <v>32976</v>
      </c>
      <c r="L860" t="s">
        <v>1923</v>
      </c>
    </row>
    <row r="861" spans="1:12" x14ac:dyDescent="0.35">
      <c r="A861" t="s">
        <v>870</v>
      </c>
      <c r="B861" s="5">
        <v>46367</v>
      </c>
      <c r="C861" t="s">
        <v>1215</v>
      </c>
      <c r="D861" t="s">
        <v>1242</v>
      </c>
      <c r="E861" t="s">
        <v>1338</v>
      </c>
      <c r="F861" t="s">
        <v>1898</v>
      </c>
      <c r="G861" t="s">
        <v>1910</v>
      </c>
      <c r="H861" t="s">
        <v>1918</v>
      </c>
      <c r="I861" s="4">
        <v>180</v>
      </c>
      <c r="J861" s="3">
        <v>172</v>
      </c>
      <c r="K861" s="3">
        <f>Table1[[#This Row],[Quantity Sold]]*Table1[[#This Row],[Unit Price (INR)]]</f>
        <v>30960</v>
      </c>
      <c r="L861" t="s">
        <v>1920</v>
      </c>
    </row>
    <row r="862" spans="1:12" x14ac:dyDescent="0.35">
      <c r="A862" t="s">
        <v>871</v>
      </c>
      <c r="B862" s="5">
        <v>46368</v>
      </c>
      <c r="C862" t="s">
        <v>1212</v>
      </c>
      <c r="D862" t="s">
        <v>1219</v>
      </c>
      <c r="E862" t="s">
        <v>1589</v>
      </c>
      <c r="F862" t="s">
        <v>1900</v>
      </c>
      <c r="G862" t="s">
        <v>1907</v>
      </c>
      <c r="H862" t="s">
        <v>1918</v>
      </c>
      <c r="I862" s="4">
        <v>219</v>
      </c>
      <c r="J862" s="3">
        <v>295</v>
      </c>
      <c r="K862" s="3">
        <f>Table1[[#This Row],[Quantity Sold]]*Table1[[#This Row],[Unit Price (INR)]]</f>
        <v>64605</v>
      </c>
      <c r="L862" t="s">
        <v>1920</v>
      </c>
    </row>
    <row r="863" spans="1:12" x14ac:dyDescent="0.35">
      <c r="A863" t="s">
        <v>872</v>
      </c>
      <c r="B863" s="5">
        <v>46369</v>
      </c>
      <c r="C863" t="s">
        <v>1212</v>
      </c>
      <c r="D863" t="s">
        <v>1229</v>
      </c>
      <c r="E863" t="s">
        <v>1798</v>
      </c>
      <c r="F863" t="s">
        <v>1901</v>
      </c>
      <c r="G863" t="s">
        <v>1911</v>
      </c>
      <c r="H863" t="s">
        <v>1912</v>
      </c>
      <c r="I863" s="4">
        <v>245</v>
      </c>
      <c r="J863" s="3">
        <v>271</v>
      </c>
      <c r="K863" s="3">
        <f>Table1[[#This Row],[Quantity Sold]]*Table1[[#This Row],[Unit Price (INR)]]</f>
        <v>66395</v>
      </c>
      <c r="L863" t="s">
        <v>1921</v>
      </c>
    </row>
    <row r="864" spans="1:12" x14ac:dyDescent="0.35">
      <c r="A864" t="s">
        <v>873</v>
      </c>
      <c r="B864" s="5">
        <v>46370</v>
      </c>
      <c r="C864" t="s">
        <v>1213</v>
      </c>
      <c r="D864" t="s">
        <v>1234</v>
      </c>
      <c r="E864" t="s">
        <v>1799</v>
      </c>
      <c r="F864" t="s">
        <v>1899</v>
      </c>
      <c r="G864" t="s">
        <v>1908</v>
      </c>
      <c r="H864" t="s">
        <v>1912</v>
      </c>
      <c r="I864" s="4">
        <v>431</v>
      </c>
      <c r="J864" s="3">
        <v>422</v>
      </c>
      <c r="K864" s="3">
        <f>Table1[[#This Row],[Quantity Sold]]*Table1[[#This Row],[Unit Price (INR)]]</f>
        <v>181882</v>
      </c>
      <c r="L864" t="s">
        <v>1923</v>
      </c>
    </row>
    <row r="865" spans="1:12" x14ac:dyDescent="0.35">
      <c r="A865" t="s">
        <v>874</v>
      </c>
      <c r="B865" s="5">
        <v>46371</v>
      </c>
      <c r="C865" t="s">
        <v>1217</v>
      </c>
      <c r="D865" t="s">
        <v>1237</v>
      </c>
      <c r="E865" t="s">
        <v>1291</v>
      </c>
      <c r="F865" t="s">
        <v>1906</v>
      </c>
      <c r="G865" t="s">
        <v>1907</v>
      </c>
      <c r="H865" t="s">
        <v>1916</v>
      </c>
      <c r="I865" s="4">
        <v>430</v>
      </c>
      <c r="J865" s="3">
        <v>100</v>
      </c>
      <c r="K865" s="3">
        <f>Table1[[#This Row],[Quantity Sold]]*Table1[[#This Row],[Unit Price (INR)]]</f>
        <v>43000</v>
      </c>
      <c r="L865" t="s">
        <v>1922</v>
      </c>
    </row>
    <row r="866" spans="1:12" x14ac:dyDescent="0.35">
      <c r="A866" t="s">
        <v>875</v>
      </c>
      <c r="B866" s="5">
        <v>46372</v>
      </c>
      <c r="C866" t="s">
        <v>1212</v>
      </c>
      <c r="D866" t="s">
        <v>1229</v>
      </c>
      <c r="E866" t="s">
        <v>1478</v>
      </c>
      <c r="F866" t="s">
        <v>1905</v>
      </c>
      <c r="G866" t="s">
        <v>1911</v>
      </c>
      <c r="H866" t="s">
        <v>1915</v>
      </c>
      <c r="I866" s="4">
        <v>195</v>
      </c>
      <c r="J866" s="3">
        <v>120</v>
      </c>
      <c r="K866" s="3">
        <f>Table1[[#This Row],[Quantity Sold]]*Table1[[#This Row],[Unit Price (INR)]]</f>
        <v>23400</v>
      </c>
      <c r="L866" t="s">
        <v>1922</v>
      </c>
    </row>
    <row r="867" spans="1:12" x14ac:dyDescent="0.35">
      <c r="A867" t="s">
        <v>876</v>
      </c>
      <c r="B867" s="5">
        <v>46373</v>
      </c>
      <c r="C867" t="s">
        <v>1214</v>
      </c>
      <c r="D867" t="s">
        <v>1222</v>
      </c>
      <c r="E867" t="s">
        <v>1430</v>
      </c>
      <c r="F867" t="s">
        <v>1901</v>
      </c>
      <c r="G867" t="s">
        <v>1907</v>
      </c>
      <c r="H867" t="s">
        <v>1914</v>
      </c>
      <c r="I867" s="4">
        <v>426</v>
      </c>
      <c r="J867" s="3">
        <v>97</v>
      </c>
      <c r="K867" s="3">
        <f>Table1[[#This Row],[Quantity Sold]]*Table1[[#This Row],[Unit Price (INR)]]</f>
        <v>41322</v>
      </c>
      <c r="L867" t="s">
        <v>1921</v>
      </c>
    </row>
    <row r="868" spans="1:12" x14ac:dyDescent="0.35">
      <c r="A868" t="s">
        <v>877</v>
      </c>
      <c r="B868" s="5">
        <v>46374</v>
      </c>
      <c r="C868" t="s">
        <v>1216</v>
      </c>
      <c r="D868" t="s">
        <v>1241</v>
      </c>
      <c r="E868" t="s">
        <v>1800</v>
      </c>
      <c r="F868" t="s">
        <v>1905</v>
      </c>
      <c r="G868" t="s">
        <v>1909</v>
      </c>
      <c r="H868" t="s">
        <v>1912</v>
      </c>
      <c r="I868" s="4">
        <v>373</v>
      </c>
      <c r="J868" s="3">
        <v>68</v>
      </c>
      <c r="K868" s="3">
        <f>Table1[[#This Row],[Quantity Sold]]*Table1[[#This Row],[Unit Price (INR)]]</f>
        <v>25364</v>
      </c>
      <c r="L868" t="s">
        <v>1921</v>
      </c>
    </row>
    <row r="869" spans="1:12" x14ac:dyDescent="0.35">
      <c r="A869" t="s">
        <v>878</v>
      </c>
      <c r="B869" s="5">
        <v>46375</v>
      </c>
      <c r="C869" t="s">
        <v>1211</v>
      </c>
      <c r="D869" t="s">
        <v>1221</v>
      </c>
      <c r="E869" t="s">
        <v>1801</v>
      </c>
      <c r="F869" t="s">
        <v>1904</v>
      </c>
      <c r="G869" t="s">
        <v>1909</v>
      </c>
      <c r="H869" t="s">
        <v>1912</v>
      </c>
      <c r="I869" s="4">
        <v>452</v>
      </c>
      <c r="J869" s="3">
        <v>311</v>
      </c>
      <c r="K869" s="3">
        <f>Table1[[#This Row],[Quantity Sold]]*Table1[[#This Row],[Unit Price (INR)]]</f>
        <v>140572</v>
      </c>
      <c r="L869" t="s">
        <v>1923</v>
      </c>
    </row>
    <row r="870" spans="1:12" x14ac:dyDescent="0.35">
      <c r="A870" t="s">
        <v>879</v>
      </c>
      <c r="B870" s="5">
        <v>46376</v>
      </c>
      <c r="C870" t="s">
        <v>1217</v>
      </c>
      <c r="D870" t="s">
        <v>1238</v>
      </c>
      <c r="E870" t="s">
        <v>1756</v>
      </c>
      <c r="F870" t="s">
        <v>1902</v>
      </c>
      <c r="G870" t="s">
        <v>1910</v>
      </c>
      <c r="H870" t="s">
        <v>1912</v>
      </c>
      <c r="I870" s="4">
        <v>104</v>
      </c>
      <c r="J870" s="3">
        <v>133</v>
      </c>
      <c r="K870" s="3">
        <f>Table1[[#This Row],[Quantity Sold]]*Table1[[#This Row],[Unit Price (INR)]]</f>
        <v>13832</v>
      </c>
      <c r="L870" t="s">
        <v>1922</v>
      </c>
    </row>
    <row r="871" spans="1:12" x14ac:dyDescent="0.35">
      <c r="A871" t="s">
        <v>880</v>
      </c>
      <c r="B871" s="5">
        <v>46377</v>
      </c>
      <c r="C871" t="s">
        <v>1217</v>
      </c>
      <c r="D871" t="s">
        <v>1246</v>
      </c>
      <c r="E871" t="s">
        <v>1532</v>
      </c>
      <c r="F871" t="s">
        <v>1899</v>
      </c>
      <c r="G871" t="s">
        <v>1910</v>
      </c>
      <c r="H871" t="s">
        <v>1918</v>
      </c>
      <c r="I871" s="4">
        <v>387</v>
      </c>
      <c r="J871" s="3">
        <v>204</v>
      </c>
      <c r="K871" s="3">
        <f>Table1[[#This Row],[Quantity Sold]]*Table1[[#This Row],[Unit Price (INR)]]</f>
        <v>78948</v>
      </c>
      <c r="L871" t="s">
        <v>1920</v>
      </c>
    </row>
    <row r="872" spans="1:12" x14ac:dyDescent="0.35">
      <c r="A872" t="s">
        <v>881</v>
      </c>
      <c r="B872" s="5">
        <v>46378</v>
      </c>
      <c r="C872" t="s">
        <v>1217</v>
      </c>
      <c r="D872" t="s">
        <v>1235</v>
      </c>
      <c r="E872" t="s">
        <v>1521</v>
      </c>
      <c r="F872" t="s">
        <v>1897</v>
      </c>
      <c r="G872" t="s">
        <v>1909</v>
      </c>
      <c r="H872" t="s">
        <v>1914</v>
      </c>
      <c r="I872" s="4">
        <v>20</v>
      </c>
      <c r="J872" s="3">
        <v>102</v>
      </c>
      <c r="K872" s="3">
        <f>Table1[[#This Row],[Quantity Sold]]*Table1[[#This Row],[Unit Price (INR)]]</f>
        <v>2040</v>
      </c>
      <c r="L872" t="s">
        <v>1921</v>
      </c>
    </row>
    <row r="873" spans="1:12" x14ac:dyDescent="0.35">
      <c r="A873" t="s">
        <v>882</v>
      </c>
      <c r="B873" s="5">
        <v>46379</v>
      </c>
      <c r="C873" t="s">
        <v>1213</v>
      </c>
      <c r="D873" t="s">
        <v>1220</v>
      </c>
      <c r="E873" t="s">
        <v>1607</v>
      </c>
      <c r="F873" t="s">
        <v>1899</v>
      </c>
      <c r="G873" t="s">
        <v>1907</v>
      </c>
      <c r="H873" t="s">
        <v>1913</v>
      </c>
      <c r="I873" s="4">
        <v>77</v>
      </c>
      <c r="J873" s="3">
        <v>156</v>
      </c>
      <c r="K873" s="3">
        <f>Table1[[#This Row],[Quantity Sold]]*Table1[[#This Row],[Unit Price (INR)]]</f>
        <v>12012</v>
      </c>
      <c r="L873" t="s">
        <v>1922</v>
      </c>
    </row>
    <row r="874" spans="1:12" x14ac:dyDescent="0.35">
      <c r="A874" t="s">
        <v>883</v>
      </c>
      <c r="B874" s="5">
        <v>46380</v>
      </c>
      <c r="C874" t="s">
        <v>1212</v>
      </c>
      <c r="D874" t="s">
        <v>1233</v>
      </c>
      <c r="E874" t="s">
        <v>1800</v>
      </c>
      <c r="F874" t="s">
        <v>1903</v>
      </c>
      <c r="G874" t="s">
        <v>1909</v>
      </c>
      <c r="H874" t="s">
        <v>1914</v>
      </c>
      <c r="I874" s="4">
        <v>388</v>
      </c>
      <c r="J874" s="3">
        <v>406</v>
      </c>
      <c r="K874" s="3">
        <f>Table1[[#This Row],[Quantity Sold]]*Table1[[#This Row],[Unit Price (INR)]]</f>
        <v>157528</v>
      </c>
      <c r="L874" t="s">
        <v>1923</v>
      </c>
    </row>
    <row r="875" spans="1:12" x14ac:dyDescent="0.35">
      <c r="A875" t="s">
        <v>884</v>
      </c>
      <c r="B875" s="5">
        <v>46381</v>
      </c>
      <c r="C875" t="s">
        <v>1213</v>
      </c>
      <c r="D875" t="s">
        <v>1234</v>
      </c>
      <c r="E875" t="s">
        <v>1486</v>
      </c>
      <c r="F875" t="s">
        <v>1900</v>
      </c>
      <c r="G875" t="s">
        <v>1910</v>
      </c>
      <c r="H875" t="s">
        <v>1919</v>
      </c>
      <c r="I875" s="4">
        <v>219</v>
      </c>
      <c r="J875" s="3">
        <v>353</v>
      </c>
      <c r="K875" s="3">
        <f>Table1[[#This Row],[Quantity Sold]]*Table1[[#This Row],[Unit Price (INR)]]</f>
        <v>77307</v>
      </c>
      <c r="L875" t="s">
        <v>1920</v>
      </c>
    </row>
    <row r="876" spans="1:12" x14ac:dyDescent="0.35">
      <c r="A876" t="s">
        <v>885</v>
      </c>
      <c r="B876" s="5">
        <v>46382</v>
      </c>
      <c r="C876" t="s">
        <v>1212</v>
      </c>
      <c r="D876" t="s">
        <v>1219</v>
      </c>
      <c r="E876" t="s">
        <v>1802</v>
      </c>
      <c r="F876" t="s">
        <v>1903</v>
      </c>
      <c r="G876" t="s">
        <v>1909</v>
      </c>
      <c r="H876" t="s">
        <v>1916</v>
      </c>
      <c r="I876" s="4">
        <v>205</v>
      </c>
      <c r="J876" s="3">
        <v>184</v>
      </c>
      <c r="K876" s="3">
        <f>Table1[[#This Row],[Quantity Sold]]*Table1[[#This Row],[Unit Price (INR)]]</f>
        <v>37720</v>
      </c>
      <c r="L876" t="s">
        <v>1923</v>
      </c>
    </row>
    <row r="877" spans="1:12" x14ac:dyDescent="0.35">
      <c r="A877" t="s">
        <v>886</v>
      </c>
      <c r="B877" s="5">
        <v>46383</v>
      </c>
      <c r="C877" t="s">
        <v>1213</v>
      </c>
      <c r="D877" t="s">
        <v>1234</v>
      </c>
      <c r="E877" t="s">
        <v>1629</v>
      </c>
      <c r="F877" t="s">
        <v>1903</v>
      </c>
      <c r="G877" t="s">
        <v>1909</v>
      </c>
      <c r="H877" t="s">
        <v>1915</v>
      </c>
      <c r="I877" s="4">
        <v>378</v>
      </c>
      <c r="J877" s="3">
        <v>492</v>
      </c>
      <c r="K877" s="3">
        <f>Table1[[#This Row],[Quantity Sold]]*Table1[[#This Row],[Unit Price (INR)]]</f>
        <v>185976</v>
      </c>
      <c r="L877" t="s">
        <v>1921</v>
      </c>
    </row>
    <row r="878" spans="1:12" x14ac:dyDescent="0.35">
      <c r="A878" t="s">
        <v>887</v>
      </c>
      <c r="B878" s="5">
        <v>46384</v>
      </c>
      <c r="C878" t="s">
        <v>1213</v>
      </c>
      <c r="D878" t="s">
        <v>1220</v>
      </c>
      <c r="E878" t="s">
        <v>1803</v>
      </c>
      <c r="F878" t="s">
        <v>1904</v>
      </c>
      <c r="G878" t="s">
        <v>1907</v>
      </c>
      <c r="H878" t="s">
        <v>1912</v>
      </c>
      <c r="I878" s="4">
        <v>107</v>
      </c>
      <c r="J878" s="3">
        <v>118</v>
      </c>
      <c r="K878" s="3">
        <f>Table1[[#This Row],[Quantity Sold]]*Table1[[#This Row],[Unit Price (INR)]]</f>
        <v>12626</v>
      </c>
      <c r="L878" t="s">
        <v>1922</v>
      </c>
    </row>
    <row r="879" spans="1:12" x14ac:dyDescent="0.35">
      <c r="A879" t="s">
        <v>888</v>
      </c>
      <c r="B879" s="5">
        <v>46385</v>
      </c>
      <c r="C879" t="s">
        <v>1216</v>
      </c>
      <c r="D879" t="s">
        <v>1239</v>
      </c>
      <c r="E879" t="s">
        <v>1804</v>
      </c>
      <c r="F879" t="s">
        <v>1901</v>
      </c>
      <c r="G879" t="s">
        <v>1911</v>
      </c>
      <c r="H879" t="s">
        <v>1912</v>
      </c>
      <c r="I879" s="4">
        <v>102</v>
      </c>
      <c r="J879" s="3">
        <v>60</v>
      </c>
      <c r="K879" s="3">
        <f>Table1[[#This Row],[Quantity Sold]]*Table1[[#This Row],[Unit Price (INR)]]</f>
        <v>6120</v>
      </c>
      <c r="L879" t="s">
        <v>1922</v>
      </c>
    </row>
    <row r="880" spans="1:12" x14ac:dyDescent="0.35">
      <c r="A880" t="s">
        <v>889</v>
      </c>
      <c r="B880" s="5">
        <v>46386</v>
      </c>
      <c r="C880" t="s">
        <v>1214</v>
      </c>
      <c r="D880" t="s">
        <v>1228</v>
      </c>
      <c r="E880" t="s">
        <v>1805</v>
      </c>
      <c r="F880" t="s">
        <v>1897</v>
      </c>
      <c r="G880" t="s">
        <v>1910</v>
      </c>
      <c r="H880" t="s">
        <v>1914</v>
      </c>
      <c r="I880" s="4">
        <v>481</v>
      </c>
      <c r="J880" s="3">
        <v>192</v>
      </c>
      <c r="K880" s="3">
        <f>Table1[[#This Row],[Quantity Sold]]*Table1[[#This Row],[Unit Price (INR)]]</f>
        <v>92352</v>
      </c>
      <c r="L880" t="s">
        <v>1922</v>
      </c>
    </row>
    <row r="881" spans="1:12" x14ac:dyDescent="0.35">
      <c r="A881" t="s">
        <v>890</v>
      </c>
      <c r="B881" s="5">
        <v>46387</v>
      </c>
      <c r="C881" t="s">
        <v>1213</v>
      </c>
      <c r="D881" t="s">
        <v>1244</v>
      </c>
      <c r="E881" t="s">
        <v>1525</v>
      </c>
      <c r="F881" t="s">
        <v>1897</v>
      </c>
      <c r="G881" t="s">
        <v>1907</v>
      </c>
      <c r="H881" t="s">
        <v>1915</v>
      </c>
      <c r="I881" s="4">
        <v>31</v>
      </c>
      <c r="J881" s="3">
        <v>241</v>
      </c>
      <c r="K881" s="3">
        <f>Table1[[#This Row],[Quantity Sold]]*Table1[[#This Row],[Unit Price (INR)]]</f>
        <v>7471</v>
      </c>
      <c r="L881" t="s">
        <v>1922</v>
      </c>
    </row>
    <row r="882" spans="1:12" x14ac:dyDescent="0.35">
      <c r="A882" t="s">
        <v>891</v>
      </c>
      <c r="B882" s="5">
        <v>46388</v>
      </c>
      <c r="C882" t="s">
        <v>1216</v>
      </c>
      <c r="D882" t="s">
        <v>1230</v>
      </c>
      <c r="E882" t="s">
        <v>1806</v>
      </c>
      <c r="F882" t="s">
        <v>1903</v>
      </c>
      <c r="G882" t="s">
        <v>1909</v>
      </c>
      <c r="H882" t="s">
        <v>1912</v>
      </c>
      <c r="I882" s="4">
        <v>459</v>
      </c>
      <c r="J882" s="3">
        <v>436</v>
      </c>
      <c r="K882" s="3">
        <f>Table1[[#This Row],[Quantity Sold]]*Table1[[#This Row],[Unit Price (INR)]]</f>
        <v>200124</v>
      </c>
      <c r="L882" t="s">
        <v>1920</v>
      </c>
    </row>
    <row r="883" spans="1:12" x14ac:dyDescent="0.35">
      <c r="A883" t="s">
        <v>892</v>
      </c>
      <c r="B883" s="5">
        <v>46389</v>
      </c>
      <c r="C883" t="s">
        <v>1215</v>
      </c>
      <c r="D883" t="s">
        <v>1236</v>
      </c>
      <c r="E883" t="s">
        <v>1807</v>
      </c>
      <c r="F883" t="s">
        <v>1905</v>
      </c>
      <c r="G883" t="s">
        <v>1909</v>
      </c>
      <c r="H883" t="s">
        <v>1915</v>
      </c>
      <c r="I883" s="4">
        <v>181</v>
      </c>
      <c r="J883" s="3">
        <v>427</v>
      </c>
      <c r="K883" s="3">
        <f>Table1[[#This Row],[Quantity Sold]]*Table1[[#This Row],[Unit Price (INR)]]</f>
        <v>77287</v>
      </c>
      <c r="L883" t="s">
        <v>1920</v>
      </c>
    </row>
    <row r="884" spans="1:12" x14ac:dyDescent="0.35">
      <c r="A884" t="s">
        <v>893</v>
      </c>
      <c r="B884" s="5">
        <v>46390</v>
      </c>
      <c r="C884" t="s">
        <v>1214</v>
      </c>
      <c r="D884" t="s">
        <v>1228</v>
      </c>
      <c r="E884" t="s">
        <v>1808</v>
      </c>
      <c r="F884" t="s">
        <v>1904</v>
      </c>
      <c r="G884" t="s">
        <v>1911</v>
      </c>
      <c r="H884" t="s">
        <v>1913</v>
      </c>
      <c r="I884" s="4">
        <v>392</v>
      </c>
      <c r="J884" s="3">
        <v>118</v>
      </c>
      <c r="K884" s="3">
        <f>Table1[[#This Row],[Quantity Sold]]*Table1[[#This Row],[Unit Price (INR)]]</f>
        <v>46256</v>
      </c>
      <c r="L884" t="s">
        <v>1923</v>
      </c>
    </row>
    <row r="885" spans="1:12" x14ac:dyDescent="0.35">
      <c r="A885" t="s">
        <v>894</v>
      </c>
      <c r="B885" s="5">
        <v>46391</v>
      </c>
      <c r="C885" t="s">
        <v>1213</v>
      </c>
      <c r="D885" t="s">
        <v>1223</v>
      </c>
      <c r="E885" t="s">
        <v>1782</v>
      </c>
      <c r="F885" t="s">
        <v>1903</v>
      </c>
      <c r="G885" t="s">
        <v>1910</v>
      </c>
      <c r="H885" t="s">
        <v>1917</v>
      </c>
      <c r="I885" s="4">
        <v>143</v>
      </c>
      <c r="J885" s="3">
        <v>72</v>
      </c>
      <c r="K885" s="3">
        <f>Table1[[#This Row],[Quantity Sold]]*Table1[[#This Row],[Unit Price (INR)]]</f>
        <v>10296</v>
      </c>
      <c r="L885" t="s">
        <v>1920</v>
      </c>
    </row>
    <row r="886" spans="1:12" x14ac:dyDescent="0.35">
      <c r="A886" t="s">
        <v>895</v>
      </c>
      <c r="B886" s="5">
        <v>46392</v>
      </c>
      <c r="C886" t="s">
        <v>1211</v>
      </c>
      <c r="D886" t="s">
        <v>1218</v>
      </c>
      <c r="E886" t="s">
        <v>1809</v>
      </c>
      <c r="F886" t="s">
        <v>1902</v>
      </c>
      <c r="G886" t="s">
        <v>1910</v>
      </c>
      <c r="H886" t="s">
        <v>1916</v>
      </c>
      <c r="I886" s="4">
        <v>435</v>
      </c>
      <c r="J886" s="3">
        <v>230</v>
      </c>
      <c r="K886" s="3">
        <f>Table1[[#This Row],[Quantity Sold]]*Table1[[#This Row],[Unit Price (INR)]]</f>
        <v>100050</v>
      </c>
      <c r="L886" t="s">
        <v>1921</v>
      </c>
    </row>
    <row r="887" spans="1:12" x14ac:dyDescent="0.35">
      <c r="A887" t="s">
        <v>896</v>
      </c>
      <c r="B887" s="5">
        <v>46393</v>
      </c>
      <c r="C887" t="s">
        <v>1217</v>
      </c>
      <c r="D887" t="s">
        <v>1235</v>
      </c>
      <c r="E887" t="s">
        <v>1389</v>
      </c>
      <c r="F887" t="s">
        <v>1900</v>
      </c>
      <c r="G887" t="s">
        <v>1908</v>
      </c>
      <c r="H887" t="s">
        <v>1915</v>
      </c>
      <c r="I887" s="4">
        <v>34</v>
      </c>
      <c r="J887" s="3">
        <v>342</v>
      </c>
      <c r="K887" s="3">
        <f>Table1[[#This Row],[Quantity Sold]]*Table1[[#This Row],[Unit Price (INR)]]</f>
        <v>11628</v>
      </c>
      <c r="L887" t="s">
        <v>1921</v>
      </c>
    </row>
    <row r="888" spans="1:12" x14ac:dyDescent="0.35">
      <c r="A888" t="s">
        <v>897</v>
      </c>
      <c r="B888" s="5">
        <v>46394</v>
      </c>
      <c r="C888" t="s">
        <v>1215</v>
      </c>
      <c r="D888" t="s">
        <v>1242</v>
      </c>
      <c r="E888" t="s">
        <v>1806</v>
      </c>
      <c r="F888" t="s">
        <v>1901</v>
      </c>
      <c r="G888" t="s">
        <v>1910</v>
      </c>
      <c r="H888" t="s">
        <v>1918</v>
      </c>
      <c r="I888" s="4">
        <v>194</v>
      </c>
      <c r="J888" s="3">
        <v>58</v>
      </c>
      <c r="K888" s="3">
        <f>Table1[[#This Row],[Quantity Sold]]*Table1[[#This Row],[Unit Price (INR)]]</f>
        <v>11252</v>
      </c>
      <c r="L888" t="s">
        <v>1922</v>
      </c>
    </row>
    <row r="889" spans="1:12" x14ac:dyDescent="0.35">
      <c r="A889" t="s">
        <v>898</v>
      </c>
      <c r="B889" s="5">
        <v>46395</v>
      </c>
      <c r="C889" t="s">
        <v>1215</v>
      </c>
      <c r="D889" t="s">
        <v>1242</v>
      </c>
      <c r="E889" t="s">
        <v>1728</v>
      </c>
      <c r="F889" t="s">
        <v>1906</v>
      </c>
      <c r="G889" t="s">
        <v>1911</v>
      </c>
      <c r="H889" t="s">
        <v>1919</v>
      </c>
      <c r="I889" s="4">
        <v>94</v>
      </c>
      <c r="J889" s="3">
        <v>320</v>
      </c>
      <c r="K889" s="3">
        <f>Table1[[#This Row],[Quantity Sold]]*Table1[[#This Row],[Unit Price (INR)]]</f>
        <v>30080</v>
      </c>
      <c r="L889" t="s">
        <v>1921</v>
      </c>
    </row>
    <row r="890" spans="1:12" x14ac:dyDescent="0.35">
      <c r="A890" t="s">
        <v>899</v>
      </c>
      <c r="B890" s="5">
        <v>46396</v>
      </c>
      <c r="C890" t="s">
        <v>1216</v>
      </c>
      <c r="D890" t="s">
        <v>1239</v>
      </c>
      <c r="E890" t="s">
        <v>1435</v>
      </c>
      <c r="F890" t="s">
        <v>1902</v>
      </c>
      <c r="G890" t="s">
        <v>1908</v>
      </c>
      <c r="H890" t="s">
        <v>1918</v>
      </c>
      <c r="I890" s="4">
        <v>64</v>
      </c>
      <c r="J890" s="3">
        <v>436</v>
      </c>
      <c r="K890" s="3">
        <f>Table1[[#This Row],[Quantity Sold]]*Table1[[#This Row],[Unit Price (INR)]]</f>
        <v>27904</v>
      </c>
      <c r="L890" t="s">
        <v>1923</v>
      </c>
    </row>
    <row r="891" spans="1:12" x14ac:dyDescent="0.35">
      <c r="A891" t="s">
        <v>900</v>
      </c>
      <c r="B891" s="5">
        <v>46397</v>
      </c>
      <c r="C891" t="s">
        <v>1215</v>
      </c>
      <c r="D891" t="s">
        <v>1225</v>
      </c>
      <c r="E891" t="s">
        <v>1465</v>
      </c>
      <c r="F891" t="s">
        <v>1905</v>
      </c>
      <c r="G891" t="s">
        <v>1908</v>
      </c>
      <c r="H891" t="s">
        <v>1912</v>
      </c>
      <c r="I891" s="4">
        <v>260</v>
      </c>
      <c r="J891" s="3">
        <v>142</v>
      </c>
      <c r="K891" s="3">
        <f>Table1[[#This Row],[Quantity Sold]]*Table1[[#This Row],[Unit Price (INR)]]</f>
        <v>36920</v>
      </c>
      <c r="L891" t="s">
        <v>1920</v>
      </c>
    </row>
    <row r="892" spans="1:12" x14ac:dyDescent="0.35">
      <c r="A892" t="s">
        <v>901</v>
      </c>
      <c r="B892" s="5">
        <v>46398</v>
      </c>
      <c r="C892" t="s">
        <v>1214</v>
      </c>
      <c r="D892" t="s">
        <v>1227</v>
      </c>
      <c r="E892" t="s">
        <v>1810</v>
      </c>
      <c r="F892" t="s">
        <v>1899</v>
      </c>
      <c r="G892" t="s">
        <v>1909</v>
      </c>
      <c r="H892" t="s">
        <v>1913</v>
      </c>
      <c r="I892" s="4">
        <v>153</v>
      </c>
      <c r="J892" s="3">
        <v>66</v>
      </c>
      <c r="K892" s="3">
        <f>Table1[[#This Row],[Quantity Sold]]*Table1[[#This Row],[Unit Price (INR)]]</f>
        <v>10098</v>
      </c>
      <c r="L892" t="s">
        <v>1920</v>
      </c>
    </row>
    <row r="893" spans="1:12" x14ac:dyDescent="0.35">
      <c r="A893" t="s">
        <v>902</v>
      </c>
      <c r="B893" s="5">
        <v>46399</v>
      </c>
      <c r="C893" t="s">
        <v>1213</v>
      </c>
      <c r="D893" t="s">
        <v>1244</v>
      </c>
      <c r="E893" t="s">
        <v>1809</v>
      </c>
      <c r="F893" t="s">
        <v>1899</v>
      </c>
      <c r="G893" t="s">
        <v>1909</v>
      </c>
      <c r="H893" t="s">
        <v>1913</v>
      </c>
      <c r="I893" s="4">
        <v>360</v>
      </c>
      <c r="J893" s="3">
        <v>203</v>
      </c>
      <c r="K893" s="3">
        <f>Table1[[#This Row],[Quantity Sold]]*Table1[[#This Row],[Unit Price (INR)]]</f>
        <v>73080</v>
      </c>
      <c r="L893" t="s">
        <v>1920</v>
      </c>
    </row>
    <row r="894" spans="1:12" x14ac:dyDescent="0.35">
      <c r="A894" t="s">
        <v>903</v>
      </c>
      <c r="B894" s="5">
        <v>46400</v>
      </c>
      <c r="C894" t="s">
        <v>1213</v>
      </c>
      <c r="D894" t="s">
        <v>1220</v>
      </c>
      <c r="E894" t="s">
        <v>1811</v>
      </c>
      <c r="F894" t="s">
        <v>1902</v>
      </c>
      <c r="G894" t="s">
        <v>1910</v>
      </c>
      <c r="H894" t="s">
        <v>1918</v>
      </c>
      <c r="I894" s="4">
        <v>407</v>
      </c>
      <c r="J894" s="3">
        <v>454</v>
      </c>
      <c r="K894" s="3">
        <f>Table1[[#This Row],[Quantity Sold]]*Table1[[#This Row],[Unit Price (INR)]]</f>
        <v>184778</v>
      </c>
      <c r="L894" t="s">
        <v>1921</v>
      </c>
    </row>
    <row r="895" spans="1:12" x14ac:dyDescent="0.35">
      <c r="A895" t="s">
        <v>904</v>
      </c>
      <c r="B895" s="5">
        <v>46401</v>
      </c>
      <c r="C895" t="s">
        <v>1211</v>
      </c>
      <c r="D895" t="s">
        <v>1221</v>
      </c>
      <c r="E895" t="s">
        <v>1812</v>
      </c>
      <c r="F895" t="s">
        <v>1903</v>
      </c>
      <c r="G895" t="s">
        <v>1908</v>
      </c>
      <c r="H895" t="s">
        <v>1916</v>
      </c>
      <c r="I895" s="4">
        <v>176</v>
      </c>
      <c r="J895" s="3">
        <v>377</v>
      </c>
      <c r="K895" s="3">
        <f>Table1[[#This Row],[Quantity Sold]]*Table1[[#This Row],[Unit Price (INR)]]</f>
        <v>66352</v>
      </c>
      <c r="L895" t="s">
        <v>1920</v>
      </c>
    </row>
    <row r="896" spans="1:12" x14ac:dyDescent="0.35">
      <c r="A896" t="s">
        <v>905</v>
      </c>
      <c r="B896" s="5">
        <v>46402</v>
      </c>
      <c r="C896" t="s">
        <v>1217</v>
      </c>
      <c r="D896" t="s">
        <v>1245</v>
      </c>
      <c r="E896" t="s">
        <v>1813</v>
      </c>
      <c r="F896" t="s">
        <v>1906</v>
      </c>
      <c r="G896" t="s">
        <v>1909</v>
      </c>
      <c r="H896" t="s">
        <v>1918</v>
      </c>
      <c r="I896" s="4">
        <v>421</v>
      </c>
      <c r="J896" s="3">
        <v>198</v>
      </c>
      <c r="K896" s="3">
        <f>Table1[[#This Row],[Quantity Sold]]*Table1[[#This Row],[Unit Price (INR)]]</f>
        <v>83358</v>
      </c>
      <c r="L896" t="s">
        <v>1922</v>
      </c>
    </row>
    <row r="897" spans="1:12" x14ac:dyDescent="0.35">
      <c r="A897" t="s">
        <v>906</v>
      </c>
      <c r="B897" s="5">
        <v>46403</v>
      </c>
      <c r="C897" t="s">
        <v>1216</v>
      </c>
      <c r="D897" t="s">
        <v>1232</v>
      </c>
      <c r="E897" t="s">
        <v>1814</v>
      </c>
      <c r="F897" t="s">
        <v>1898</v>
      </c>
      <c r="G897" t="s">
        <v>1911</v>
      </c>
      <c r="H897" t="s">
        <v>1914</v>
      </c>
      <c r="I897" s="4">
        <v>233</v>
      </c>
      <c r="J897" s="3">
        <v>426</v>
      </c>
      <c r="K897" s="3">
        <f>Table1[[#This Row],[Quantity Sold]]*Table1[[#This Row],[Unit Price (INR)]]</f>
        <v>99258</v>
      </c>
      <c r="L897" t="s">
        <v>1922</v>
      </c>
    </row>
    <row r="898" spans="1:12" x14ac:dyDescent="0.35">
      <c r="A898" t="s">
        <v>907</v>
      </c>
      <c r="B898" s="5">
        <v>46404</v>
      </c>
      <c r="C898" t="s">
        <v>1217</v>
      </c>
      <c r="D898" t="s">
        <v>1238</v>
      </c>
      <c r="E898" t="s">
        <v>1747</v>
      </c>
      <c r="F898" t="s">
        <v>1898</v>
      </c>
      <c r="G898" t="s">
        <v>1909</v>
      </c>
      <c r="H898" t="s">
        <v>1912</v>
      </c>
      <c r="I898" s="4">
        <v>229</v>
      </c>
      <c r="J898" s="3">
        <v>316</v>
      </c>
      <c r="K898" s="3">
        <f>Table1[[#This Row],[Quantity Sold]]*Table1[[#This Row],[Unit Price (INR)]]</f>
        <v>72364</v>
      </c>
      <c r="L898" t="s">
        <v>1922</v>
      </c>
    </row>
    <row r="899" spans="1:12" x14ac:dyDescent="0.35">
      <c r="A899" t="s">
        <v>908</v>
      </c>
      <c r="B899" s="5">
        <v>46405</v>
      </c>
      <c r="C899" t="s">
        <v>1215</v>
      </c>
      <c r="D899" t="s">
        <v>1242</v>
      </c>
      <c r="E899" t="s">
        <v>1430</v>
      </c>
      <c r="F899" t="s">
        <v>1905</v>
      </c>
      <c r="G899" t="s">
        <v>1909</v>
      </c>
      <c r="H899" t="s">
        <v>1912</v>
      </c>
      <c r="I899" s="4">
        <v>188</v>
      </c>
      <c r="J899" s="3">
        <v>471</v>
      </c>
      <c r="K899" s="3">
        <f>Table1[[#This Row],[Quantity Sold]]*Table1[[#This Row],[Unit Price (INR)]]</f>
        <v>88548</v>
      </c>
      <c r="L899" t="s">
        <v>1921</v>
      </c>
    </row>
    <row r="900" spans="1:12" x14ac:dyDescent="0.35">
      <c r="A900" t="s">
        <v>909</v>
      </c>
      <c r="B900" s="5">
        <v>46406</v>
      </c>
      <c r="C900" t="s">
        <v>1211</v>
      </c>
      <c r="D900" t="s">
        <v>1221</v>
      </c>
      <c r="E900" t="s">
        <v>1535</v>
      </c>
      <c r="F900" t="s">
        <v>1903</v>
      </c>
      <c r="G900" t="s">
        <v>1908</v>
      </c>
      <c r="H900" t="s">
        <v>1918</v>
      </c>
      <c r="I900" s="4">
        <v>128</v>
      </c>
      <c r="J900" s="3">
        <v>377</v>
      </c>
      <c r="K900" s="3">
        <f>Table1[[#This Row],[Quantity Sold]]*Table1[[#This Row],[Unit Price (INR)]]</f>
        <v>48256</v>
      </c>
      <c r="L900" t="s">
        <v>1920</v>
      </c>
    </row>
    <row r="901" spans="1:12" x14ac:dyDescent="0.35">
      <c r="A901" t="s">
        <v>910</v>
      </c>
      <c r="B901" s="5">
        <v>46407</v>
      </c>
      <c r="C901" t="s">
        <v>1217</v>
      </c>
      <c r="D901" t="s">
        <v>1245</v>
      </c>
      <c r="E901" t="s">
        <v>1812</v>
      </c>
      <c r="F901" t="s">
        <v>1897</v>
      </c>
      <c r="G901" t="s">
        <v>1908</v>
      </c>
      <c r="H901" t="s">
        <v>1919</v>
      </c>
      <c r="I901" s="4">
        <v>442</v>
      </c>
      <c r="J901" s="3">
        <v>155</v>
      </c>
      <c r="K901" s="3">
        <f>Table1[[#This Row],[Quantity Sold]]*Table1[[#This Row],[Unit Price (INR)]]</f>
        <v>68510</v>
      </c>
      <c r="L901" t="s">
        <v>1921</v>
      </c>
    </row>
    <row r="902" spans="1:12" x14ac:dyDescent="0.35">
      <c r="A902" t="s">
        <v>911</v>
      </c>
      <c r="B902" s="5">
        <v>46408</v>
      </c>
      <c r="C902" t="s">
        <v>1214</v>
      </c>
      <c r="D902" t="s">
        <v>1228</v>
      </c>
      <c r="E902" t="s">
        <v>1800</v>
      </c>
      <c r="F902" t="s">
        <v>1897</v>
      </c>
      <c r="G902" t="s">
        <v>1907</v>
      </c>
      <c r="H902" t="s">
        <v>1919</v>
      </c>
      <c r="I902" s="4">
        <v>274</v>
      </c>
      <c r="J902" s="3">
        <v>430</v>
      </c>
      <c r="K902" s="3">
        <f>Table1[[#This Row],[Quantity Sold]]*Table1[[#This Row],[Unit Price (INR)]]</f>
        <v>117820</v>
      </c>
      <c r="L902" t="s">
        <v>1920</v>
      </c>
    </row>
    <row r="903" spans="1:12" x14ac:dyDescent="0.35">
      <c r="A903" t="s">
        <v>912</v>
      </c>
      <c r="B903" s="5">
        <v>46409</v>
      </c>
      <c r="C903" t="s">
        <v>1213</v>
      </c>
      <c r="D903" t="s">
        <v>1234</v>
      </c>
      <c r="E903" t="s">
        <v>1815</v>
      </c>
      <c r="F903" t="s">
        <v>1901</v>
      </c>
      <c r="G903" t="s">
        <v>1911</v>
      </c>
      <c r="H903" t="s">
        <v>1912</v>
      </c>
      <c r="I903" s="4">
        <v>451</v>
      </c>
      <c r="J903" s="3">
        <v>84</v>
      </c>
      <c r="K903" s="3">
        <f>Table1[[#This Row],[Quantity Sold]]*Table1[[#This Row],[Unit Price (INR)]]</f>
        <v>37884</v>
      </c>
      <c r="L903" t="s">
        <v>1923</v>
      </c>
    </row>
    <row r="904" spans="1:12" x14ac:dyDescent="0.35">
      <c r="A904" t="s">
        <v>913</v>
      </c>
      <c r="B904" s="5">
        <v>46410</v>
      </c>
      <c r="C904" t="s">
        <v>1215</v>
      </c>
      <c r="D904" t="s">
        <v>1243</v>
      </c>
      <c r="E904" t="s">
        <v>1770</v>
      </c>
      <c r="F904" t="s">
        <v>1906</v>
      </c>
      <c r="G904" t="s">
        <v>1908</v>
      </c>
      <c r="H904" t="s">
        <v>1917</v>
      </c>
      <c r="I904" s="4">
        <v>438</v>
      </c>
      <c r="J904" s="3">
        <v>168</v>
      </c>
      <c r="K904" s="3">
        <f>Table1[[#This Row],[Quantity Sold]]*Table1[[#This Row],[Unit Price (INR)]]</f>
        <v>73584</v>
      </c>
      <c r="L904" t="s">
        <v>1923</v>
      </c>
    </row>
    <row r="905" spans="1:12" x14ac:dyDescent="0.35">
      <c r="A905" t="s">
        <v>914</v>
      </c>
      <c r="B905" s="5">
        <v>46411</v>
      </c>
      <c r="C905" t="s">
        <v>1211</v>
      </c>
      <c r="D905" t="s">
        <v>1218</v>
      </c>
      <c r="E905" t="s">
        <v>1361</v>
      </c>
      <c r="F905" t="s">
        <v>1906</v>
      </c>
      <c r="G905" t="s">
        <v>1910</v>
      </c>
      <c r="H905" t="s">
        <v>1919</v>
      </c>
      <c r="I905" s="4">
        <v>159</v>
      </c>
      <c r="J905" s="3">
        <v>63</v>
      </c>
      <c r="K905" s="3">
        <f>Table1[[#This Row],[Quantity Sold]]*Table1[[#This Row],[Unit Price (INR)]]</f>
        <v>10017</v>
      </c>
      <c r="L905" t="s">
        <v>1921</v>
      </c>
    </row>
    <row r="906" spans="1:12" x14ac:dyDescent="0.35">
      <c r="A906" t="s">
        <v>915</v>
      </c>
      <c r="B906" s="5">
        <v>46412</v>
      </c>
      <c r="C906" t="s">
        <v>1217</v>
      </c>
      <c r="D906" t="s">
        <v>1238</v>
      </c>
      <c r="E906" t="s">
        <v>1770</v>
      </c>
      <c r="F906" t="s">
        <v>1899</v>
      </c>
      <c r="G906" t="s">
        <v>1911</v>
      </c>
      <c r="H906" t="s">
        <v>1918</v>
      </c>
      <c r="I906" s="4">
        <v>425</v>
      </c>
      <c r="J906" s="3">
        <v>63</v>
      </c>
      <c r="K906" s="3">
        <f>Table1[[#This Row],[Quantity Sold]]*Table1[[#This Row],[Unit Price (INR)]]</f>
        <v>26775</v>
      </c>
      <c r="L906" t="s">
        <v>1922</v>
      </c>
    </row>
    <row r="907" spans="1:12" x14ac:dyDescent="0.35">
      <c r="A907" t="s">
        <v>916</v>
      </c>
      <c r="B907" s="5">
        <v>46413</v>
      </c>
      <c r="C907" t="s">
        <v>1216</v>
      </c>
      <c r="D907" t="s">
        <v>1241</v>
      </c>
      <c r="E907" t="s">
        <v>1458</v>
      </c>
      <c r="F907" t="s">
        <v>1904</v>
      </c>
      <c r="G907" t="s">
        <v>1911</v>
      </c>
      <c r="H907" t="s">
        <v>1919</v>
      </c>
      <c r="I907" s="4">
        <v>462</v>
      </c>
      <c r="J907" s="3">
        <v>315</v>
      </c>
      <c r="K907" s="3">
        <f>Table1[[#This Row],[Quantity Sold]]*Table1[[#This Row],[Unit Price (INR)]]</f>
        <v>145530</v>
      </c>
      <c r="L907" t="s">
        <v>1921</v>
      </c>
    </row>
    <row r="908" spans="1:12" x14ac:dyDescent="0.35">
      <c r="A908" t="s">
        <v>917</v>
      </c>
      <c r="B908" s="5">
        <v>46414</v>
      </c>
      <c r="C908" t="s">
        <v>1214</v>
      </c>
      <c r="D908" t="s">
        <v>1228</v>
      </c>
      <c r="E908" t="s">
        <v>1816</v>
      </c>
      <c r="F908" t="s">
        <v>1905</v>
      </c>
      <c r="G908" t="s">
        <v>1908</v>
      </c>
      <c r="H908" t="s">
        <v>1912</v>
      </c>
      <c r="I908" s="4">
        <v>224</v>
      </c>
      <c r="J908" s="3">
        <v>189</v>
      </c>
      <c r="K908" s="3">
        <f>Table1[[#This Row],[Quantity Sold]]*Table1[[#This Row],[Unit Price (INR)]]</f>
        <v>42336</v>
      </c>
      <c r="L908" t="s">
        <v>1922</v>
      </c>
    </row>
    <row r="909" spans="1:12" x14ac:dyDescent="0.35">
      <c r="A909" t="s">
        <v>918</v>
      </c>
      <c r="B909" s="5">
        <v>46415</v>
      </c>
      <c r="C909" t="s">
        <v>1214</v>
      </c>
      <c r="D909" t="s">
        <v>1222</v>
      </c>
      <c r="E909" t="s">
        <v>1817</v>
      </c>
      <c r="F909" t="s">
        <v>1898</v>
      </c>
      <c r="G909" t="s">
        <v>1911</v>
      </c>
      <c r="H909" t="s">
        <v>1916</v>
      </c>
      <c r="I909" s="4">
        <v>206</v>
      </c>
      <c r="J909" s="3">
        <v>343</v>
      </c>
      <c r="K909" s="3">
        <f>Table1[[#This Row],[Quantity Sold]]*Table1[[#This Row],[Unit Price (INR)]]</f>
        <v>70658</v>
      </c>
      <c r="L909" t="s">
        <v>1920</v>
      </c>
    </row>
    <row r="910" spans="1:12" x14ac:dyDescent="0.35">
      <c r="A910" t="s">
        <v>919</v>
      </c>
      <c r="B910" s="5">
        <v>46416</v>
      </c>
      <c r="C910" t="s">
        <v>1217</v>
      </c>
      <c r="D910" t="s">
        <v>1245</v>
      </c>
      <c r="E910" t="s">
        <v>1818</v>
      </c>
      <c r="F910" t="s">
        <v>1905</v>
      </c>
      <c r="G910" t="s">
        <v>1908</v>
      </c>
      <c r="H910" t="s">
        <v>1915</v>
      </c>
      <c r="I910" s="4">
        <v>51</v>
      </c>
      <c r="J910" s="3">
        <v>413</v>
      </c>
      <c r="K910" s="3">
        <f>Table1[[#This Row],[Quantity Sold]]*Table1[[#This Row],[Unit Price (INR)]]</f>
        <v>21063</v>
      </c>
      <c r="L910" t="s">
        <v>1922</v>
      </c>
    </row>
    <row r="911" spans="1:12" x14ac:dyDescent="0.35">
      <c r="A911" t="s">
        <v>920</v>
      </c>
      <c r="B911" s="5">
        <v>46417</v>
      </c>
      <c r="C911" t="s">
        <v>1213</v>
      </c>
      <c r="D911" t="s">
        <v>1234</v>
      </c>
      <c r="E911" t="s">
        <v>1819</v>
      </c>
      <c r="F911" t="s">
        <v>1897</v>
      </c>
      <c r="G911" t="s">
        <v>1909</v>
      </c>
      <c r="H911" t="s">
        <v>1919</v>
      </c>
      <c r="I911" s="4">
        <v>62</v>
      </c>
      <c r="J911" s="3">
        <v>168</v>
      </c>
      <c r="K911" s="3">
        <f>Table1[[#This Row],[Quantity Sold]]*Table1[[#This Row],[Unit Price (INR)]]</f>
        <v>10416</v>
      </c>
      <c r="L911" t="s">
        <v>1922</v>
      </c>
    </row>
    <row r="912" spans="1:12" x14ac:dyDescent="0.35">
      <c r="A912" t="s">
        <v>921</v>
      </c>
      <c r="B912" s="5">
        <v>46418</v>
      </c>
      <c r="C912" t="s">
        <v>1217</v>
      </c>
      <c r="D912" t="s">
        <v>1246</v>
      </c>
      <c r="E912" t="s">
        <v>1729</v>
      </c>
      <c r="F912" t="s">
        <v>1897</v>
      </c>
      <c r="G912" t="s">
        <v>1907</v>
      </c>
      <c r="H912" t="s">
        <v>1914</v>
      </c>
      <c r="I912" s="4">
        <v>489</v>
      </c>
      <c r="J912" s="3">
        <v>287</v>
      </c>
      <c r="K912" s="3">
        <f>Table1[[#This Row],[Quantity Sold]]*Table1[[#This Row],[Unit Price (INR)]]</f>
        <v>140343</v>
      </c>
      <c r="L912" t="s">
        <v>1920</v>
      </c>
    </row>
    <row r="913" spans="1:12" x14ac:dyDescent="0.35">
      <c r="A913" t="s">
        <v>922</v>
      </c>
      <c r="B913" s="5">
        <v>46419</v>
      </c>
      <c r="C913" t="s">
        <v>1215</v>
      </c>
      <c r="D913" t="s">
        <v>1243</v>
      </c>
      <c r="E913" t="s">
        <v>1511</v>
      </c>
      <c r="F913" t="s">
        <v>1902</v>
      </c>
      <c r="G913" t="s">
        <v>1909</v>
      </c>
      <c r="H913" t="s">
        <v>1916</v>
      </c>
      <c r="I913" s="4">
        <v>452</v>
      </c>
      <c r="J913" s="3">
        <v>83</v>
      </c>
      <c r="K913" s="3">
        <f>Table1[[#This Row],[Quantity Sold]]*Table1[[#This Row],[Unit Price (INR)]]</f>
        <v>37516</v>
      </c>
      <c r="L913" t="s">
        <v>1923</v>
      </c>
    </row>
    <row r="914" spans="1:12" x14ac:dyDescent="0.35">
      <c r="A914" t="s">
        <v>923</v>
      </c>
      <c r="B914" s="5">
        <v>46420</v>
      </c>
      <c r="C914" t="s">
        <v>1217</v>
      </c>
      <c r="D914" t="s">
        <v>1238</v>
      </c>
      <c r="E914" t="s">
        <v>1820</v>
      </c>
      <c r="F914" t="s">
        <v>1901</v>
      </c>
      <c r="G914" t="s">
        <v>1908</v>
      </c>
      <c r="H914" t="s">
        <v>1917</v>
      </c>
      <c r="I914" s="4">
        <v>339</v>
      </c>
      <c r="J914" s="3">
        <v>218</v>
      </c>
      <c r="K914" s="3">
        <f>Table1[[#This Row],[Quantity Sold]]*Table1[[#This Row],[Unit Price (INR)]]</f>
        <v>73902</v>
      </c>
      <c r="L914" t="s">
        <v>1920</v>
      </c>
    </row>
    <row r="915" spans="1:12" x14ac:dyDescent="0.35">
      <c r="A915" t="s">
        <v>924</v>
      </c>
      <c r="B915" s="5">
        <v>46421</v>
      </c>
      <c r="C915" t="s">
        <v>1214</v>
      </c>
      <c r="D915" t="s">
        <v>1222</v>
      </c>
      <c r="E915" t="s">
        <v>1821</v>
      </c>
      <c r="F915" t="s">
        <v>1906</v>
      </c>
      <c r="G915" t="s">
        <v>1908</v>
      </c>
      <c r="H915" t="s">
        <v>1914</v>
      </c>
      <c r="I915" s="4">
        <v>260</v>
      </c>
      <c r="J915" s="3">
        <v>59</v>
      </c>
      <c r="K915" s="3">
        <f>Table1[[#This Row],[Quantity Sold]]*Table1[[#This Row],[Unit Price (INR)]]</f>
        <v>15340</v>
      </c>
      <c r="L915" t="s">
        <v>1921</v>
      </c>
    </row>
    <row r="916" spans="1:12" x14ac:dyDescent="0.35">
      <c r="A916" t="s">
        <v>925</v>
      </c>
      <c r="B916" s="5">
        <v>46422</v>
      </c>
      <c r="C916" t="s">
        <v>1211</v>
      </c>
      <c r="D916" t="s">
        <v>1224</v>
      </c>
      <c r="E916" t="s">
        <v>1731</v>
      </c>
      <c r="F916" t="s">
        <v>1900</v>
      </c>
      <c r="G916" t="s">
        <v>1909</v>
      </c>
      <c r="H916" t="s">
        <v>1918</v>
      </c>
      <c r="I916" s="4">
        <v>304</v>
      </c>
      <c r="J916" s="3">
        <v>171</v>
      </c>
      <c r="K916" s="3">
        <f>Table1[[#This Row],[Quantity Sold]]*Table1[[#This Row],[Unit Price (INR)]]</f>
        <v>51984</v>
      </c>
      <c r="L916" t="s">
        <v>1921</v>
      </c>
    </row>
    <row r="917" spans="1:12" x14ac:dyDescent="0.35">
      <c r="A917" t="s">
        <v>926</v>
      </c>
      <c r="B917" s="5">
        <v>46423</v>
      </c>
      <c r="C917" t="s">
        <v>1217</v>
      </c>
      <c r="D917" t="s">
        <v>1238</v>
      </c>
      <c r="E917" t="s">
        <v>1800</v>
      </c>
      <c r="F917" t="s">
        <v>1905</v>
      </c>
      <c r="G917" t="s">
        <v>1910</v>
      </c>
      <c r="H917" t="s">
        <v>1915</v>
      </c>
      <c r="I917" s="4">
        <v>387</v>
      </c>
      <c r="J917" s="3">
        <v>450</v>
      </c>
      <c r="K917" s="3">
        <f>Table1[[#This Row],[Quantity Sold]]*Table1[[#This Row],[Unit Price (INR)]]</f>
        <v>174150</v>
      </c>
      <c r="L917" t="s">
        <v>1921</v>
      </c>
    </row>
    <row r="918" spans="1:12" x14ac:dyDescent="0.35">
      <c r="A918" t="s">
        <v>927</v>
      </c>
      <c r="B918" s="5">
        <v>46424</v>
      </c>
      <c r="C918" t="s">
        <v>1213</v>
      </c>
      <c r="D918" t="s">
        <v>1244</v>
      </c>
      <c r="E918" t="s">
        <v>1652</v>
      </c>
      <c r="F918" t="s">
        <v>1897</v>
      </c>
      <c r="G918" t="s">
        <v>1910</v>
      </c>
      <c r="H918" t="s">
        <v>1918</v>
      </c>
      <c r="I918" s="4">
        <v>280</v>
      </c>
      <c r="J918" s="3">
        <v>194</v>
      </c>
      <c r="K918" s="3">
        <f>Table1[[#This Row],[Quantity Sold]]*Table1[[#This Row],[Unit Price (INR)]]</f>
        <v>54320</v>
      </c>
      <c r="L918" t="s">
        <v>1921</v>
      </c>
    </row>
    <row r="919" spans="1:12" x14ac:dyDescent="0.35">
      <c r="A919" t="s">
        <v>928</v>
      </c>
      <c r="B919" s="5">
        <v>46425</v>
      </c>
      <c r="C919" t="s">
        <v>1211</v>
      </c>
      <c r="D919" t="s">
        <v>1224</v>
      </c>
      <c r="E919" t="s">
        <v>1382</v>
      </c>
      <c r="F919" t="s">
        <v>1904</v>
      </c>
      <c r="G919" t="s">
        <v>1910</v>
      </c>
      <c r="H919" t="s">
        <v>1915</v>
      </c>
      <c r="I919" s="4">
        <v>464</v>
      </c>
      <c r="J919" s="3">
        <v>495</v>
      </c>
      <c r="K919" s="3">
        <f>Table1[[#This Row],[Quantity Sold]]*Table1[[#This Row],[Unit Price (INR)]]</f>
        <v>229680</v>
      </c>
      <c r="L919" t="s">
        <v>1921</v>
      </c>
    </row>
    <row r="920" spans="1:12" x14ac:dyDescent="0.35">
      <c r="A920" t="s">
        <v>929</v>
      </c>
      <c r="B920" s="5">
        <v>46426</v>
      </c>
      <c r="C920" t="s">
        <v>1216</v>
      </c>
      <c r="D920" t="s">
        <v>1230</v>
      </c>
      <c r="E920" t="s">
        <v>1440</v>
      </c>
      <c r="F920" t="s">
        <v>1899</v>
      </c>
      <c r="G920" t="s">
        <v>1908</v>
      </c>
      <c r="H920" t="s">
        <v>1915</v>
      </c>
      <c r="I920" s="4">
        <v>422</v>
      </c>
      <c r="J920" s="3">
        <v>272</v>
      </c>
      <c r="K920" s="3">
        <f>Table1[[#This Row],[Quantity Sold]]*Table1[[#This Row],[Unit Price (INR)]]</f>
        <v>114784</v>
      </c>
      <c r="L920" t="s">
        <v>1923</v>
      </c>
    </row>
    <row r="921" spans="1:12" x14ac:dyDescent="0.35">
      <c r="A921" t="s">
        <v>930</v>
      </c>
      <c r="B921" s="5">
        <v>46427</v>
      </c>
      <c r="C921" t="s">
        <v>1212</v>
      </c>
      <c r="D921" t="s">
        <v>1240</v>
      </c>
      <c r="E921" t="s">
        <v>1752</v>
      </c>
      <c r="F921" t="s">
        <v>1898</v>
      </c>
      <c r="G921" t="s">
        <v>1911</v>
      </c>
      <c r="H921" t="s">
        <v>1918</v>
      </c>
      <c r="I921" s="4">
        <v>132</v>
      </c>
      <c r="J921" s="3">
        <v>420</v>
      </c>
      <c r="K921" s="3">
        <f>Table1[[#This Row],[Quantity Sold]]*Table1[[#This Row],[Unit Price (INR)]]</f>
        <v>55440</v>
      </c>
      <c r="L921" t="s">
        <v>1923</v>
      </c>
    </row>
    <row r="922" spans="1:12" x14ac:dyDescent="0.35">
      <c r="A922" t="s">
        <v>931</v>
      </c>
      <c r="B922" s="5">
        <v>46428</v>
      </c>
      <c r="C922" t="s">
        <v>1217</v>
      </c>
      <c r="D922" t="s">
        <v>1246</v>
      </c>
      <c r="E922" t="s">
        <v>1822</v>
      </c>
      <c r="F922" t="s">
        <v>1901</v>
      </c>
      <c r="G922" t="s">
        <v>1908</v>
      </c>
      <c r="H922" t="s">
        <v>1914</v>
      </c>
      <c r="I922" s="4">
        <v>376</v>
      </c>
      <c r="J922" s="3">
        <v>306</v>
      </c>
      <c r="K922" s="3">
        <f>Table1[[#This Row],[Quantity Sold]]*Table1[[#This Row],[Unit Price (INR)]]</f>
        <v>115056</v>
      </c>
      <c r="L922" t="s">
        <v>1922</v>
      </c>
    </row>
    <row r="923" spans="1:12" x14ac:dyDescent="0.35">
      <c r="A923" t="s">
        <v>932</v>
      </c>
      <c r="B923" s="5">
        <v>46429</v>
      </c>
      <c r="C923" t="s">
        <v>1213</v>
      </c>
      <c r="D923" t="s">
        <v>1220</v>
      </c>
      <c r="E923" t="s">
        <v>1805</v>
      </c>
      <c r="F923" t="s">
        <v>1904</v>
      </c>
      <c r="G923" t="s">
        <v>1911</v>
      </c>
      <c r="H923" t="s">
        <v>1914</v>
      </c>
      <c r="I923" s="4">
        <v>396</v>
      </c>
      <c r="J923" s="3">
        <v>317</v>
      </c>
      <c r="K923" s="3">
        <f>Table1[[#This Row],[Quantity Sold]]*Table1[[#This Row],[Unit Price (INR)]]</f>
        <v>125532</v>
      </c>
      <c r="L923" t="s">
        <v>1921</v>
      </c>
    </row>
    <row r="924" spans="1:12" x14ac:dyDescent="0.35">
      <c r="A924" t="s">
        <v>933</v>
      </c>
      <c r="B924" s="5">
        <v>46430</v>
      </c>
      <c r="C924" t="s">
        <v>1211</v>
      </c>
      <c r="D924" t="s">
        <v>1221</v>
      </c>
      <c r="E924" t="s">
        <v>1823</v>
      </c>
      <c r="F924" t="s">
        <v>1901</v>
      </c>
      <c r="G924" t="s">
        <v>1909</v>
      </c>
      <c r="H924" t="s">
        <v>1915</v>
      </c>
      <c r="I924" s="4">
        <v>348</v>
      </c>
      <c r="J924" s="3">
        <v>408</v>
      </c>
      <c r="K924" s="3">
        <f>Table1[[#This Row],[Quantity Sold]]*Table1[[#This Row],[Unit Price (INR)]]</f>
        <v>141984</v>
      </c>
      <c r="L924" t="s">
        <v>1920</v>
      </c>
    </row>
    <row r="925" spans="1:12" x14ac:dyDescent="0.35">
      <c r="A925" t="s">
        <v>934</v>
      </c>
      <c r="B925" s="5">
        <v>46431</v>
      </c>
      <c r="C925" t="s">
        <v>1213</v>
      </c>
      <c r="D925" t="s">
        <v>1220</v>
      </c>
      <c r="E925" t="s">
        <v>1824</v>
      </c>
      <c r="F925" t="s">
        <v>1902</v>
      </c>
      <c r="G925" t="s">
        <v>1907</v>
      </c>
      <c r="H925" t="s">
        <v>1914</v>
      </c>
      <c r="I925" s="4">
        <v>275</v>
      </c>
      <c r="J925" s="3">
        <v>53</v>
      </c>
      <c r="K925" s="3">
        <f>Table1[[#This Row],[Quantity Sold]]*Table1[[#This Row],[Unit Price (INR)]]</f>
        <v>14575</v>
      </c>
      <c r="L925" t="s">
        <v>1921</v>
      </c>
    </row>
    <row r="926" spans="1:12" x14ac:dyDescent="0.35">
      <c r="A926" t="s">
        <v>935</v>
      </c>
      <c r="B926" s="5">
        <v>46432</v>
      </c>
      <c r="C926" t="s">
        <v>1216</v>
      </c>
      <c r="D926" t="s">
        <v>1230</v>
      </c>
      <c r="E926" t="s">
        <v>1757</v>
      </c>
      <c r="F926" t="s">
        <v>1900</v>
      </c>
      <c r="G926" t="s">
        <v>1911</v>
      </c>
      <c r="H926" t="s">
        <v>1915</v>
      </c>
      <c r="I926" s="4">
        <v>357</v>
      </c>
      <c r="J926" s="3">
        <v>475</v>
      </c>
      <c r="K926" s="3">
        <f>Table1[[#This Row],[Quantity Sold]]*Table1[[#This Row],[Unit Price (INR)]]</f>
        <v>169575</v>
      </c>
      <c r="L926" t="s">
        <v>1923</v>
      </c>
    </row>
    <row r="927" spans="1:12" x14ac:dyDescent="0.35">
      <c r="A927" t="s">
        <v>936</v>
      </c>
      <c r="B927" s="5">
        <v>46433</v>
      </c>
      <c r="C927" t="s">
        <v>1214</v>
      </c>
      <c r="D927" t="s">
        <v>1228</v>
      </c>
      <c r="E927" t="s">
        <v>1825</v>
      </c>
      <c r="F927" t="s">
        <v>1897</v>
      </c>
      <c r="G927" t="s">
        <v>1910</v>
      </c>
      <c r="H927" t="s">
        <v>1912</v>
      </c>
      <c r="I927" s="4">
        <v>38</v>
      </c>
      <c r="J927" s="3">
        <v>446</v>
      </c>
      <c r="K927" s="3">
        <f>Table1[[#This Row],[Quantity Sold]]*Table1[[#This Row],[Unit Price (INR)]]</f>
        <v>16948</v>
      </c>
      <c r="L927" t="s">
        <v>1921</v>
      </c>
    </row>
    <row r="928" spans="1:12" x14ac:dyDescent="0.35">
      <c r="A928" t="s">
        <v>937</v>
      </c>
      <c r="B928" s="5">
        <v>46434</v>
      </c>
      <c r="C928" t="s">
        <v>1213</v>
      </c>
      <c r="D928" t="s">
        <v>1234</v>
      </c>
      <c r="E928" t="s">
        <v>1789</v>
      </c>
      <c r="F928" t="s">
        <v>1899</v>
      </c>
      <c r="G928" t="s">
        <v>1908</v>
      </c>
      <c r="H928" t="s">
        <v>1915</v>
      </c>
      <c r="I928" s="4">
        <v>472</v>
      </c>
      <c r="J928" s="3">
        <v>403</v>
      </c>
      <c r="K928" s="3">
        <f>Table1[[#This Row],[Quantity Sold]]*Table1[[#This Row],[Unit Price (INR)]]</f>
        <v>190216</v>
      </c>
      <c r="L928" t="s">
        <v>1923</v>
      </c>
    </row>
    <row r="929" spans="1:12" x14ac:dyDescent="0.35">
      <c r="A929" t="s">
        <v>938</v>
      </c>
      <c r="B929" s="5">
        <v>46435</v>
      </c>
      <c r="C929" t="s">
        <v>1211</v>
      </c>
      <c r="D929" t="s">
        <v>1218</v>
      </c>
      <c r="E929" t="s">
        <v>1611</v>
      </c>
      <c r="F929" t="s">
        <v>1904</v>
      </c>
      <c r="G929" t="s">
        <v>1909</v>
      </c>
      <c r="H929" t="s">
        <v>1912</v>
      </c>
      <c r="I929" s="4">
        <v>44</v>
      </c>
      <c r="J929" s="3">
        <v>155</v>
      </c>
      <c r="K929" s="3">
        <f>Table1[[#This Row],[Quantity Sold]]*Table1[[#This Row],[Unit Price (INR)]]</f>
        <v>6820</v>
      </c>
      <c r="L929" t="s">
        <v>1922</v>
      </c>
    </row>
    <row r="930" spans="1:12" x14ac:dyDescent="0.35">
      <c r="A930" t="s">
        <v>939</v>
      </c>
      <c r="B930" s="5">
        <v>46436</v>
      </c>
      <c r="C930" t="s">
        <v>1213</v>
      </c>
      <c r="D930" t="s">
        <v>1223</v>
      </c>
      <c r="E930" t="s">
        <v>1698</v>
      </c>
      <c r="F930" t="s">
        <v>1901</v>
      </c>
      <c r="G930" t="s">
        <v>1910</v>
      </c>
      <c r="H930" t="s">
        <v>1916</v>
      </c>
      <c r="I930" s="4">
        <v>15</v>
      </c>
      <c r="J930" s="3">
        <v>134</v>
      </c>
      <c r="K930" s="3">
        <f>Table1[[#This Row],[Quantity Sold]]*Table1[[#This Row],[Unit Price (INR)]]</f>
        <v>2010</v>
      </c>
      <c r="L930" t="s">
        <v>1922</v>
      </c>
    </row>
    <row r="931" spans="1:12" x14ac:dyDescent="0.35">
      <c r="A931" t="s">
        <v>940</v>
      </c>
      <c r="B931" s="5">
        <v>46437</v>
      </c>
      <c r="C931" t="s">
        <v>1213</v>
      </c>
      <c r="D931" t="s">
        <v>1244</v>
      </c>
      <c r="E931" t="s">
        <v>1826</v>
      </c>
      <c r="F931" t="s">
        <v>1906</v>
      </c>
      <c r="G931" t="s">
        <v>1909</v>
      </c>
      <c r="H931" t="s">
        <v>1913</v>
      </c>
      <c r="I931" s="4">
        <v>405</v>
      </c>
      <c r="J931" s="3">
        <v>263</v>
      </c>
      <c r="K931" s="3">
        <f>Table1[[#This Row],[Quantity Sold]]*Table1[[#This Row],[Unit Price (INR)]]</f>
        <v>106515</v>
      </c>
      <c r="L931" t="s">
        <v>1922</v>
      </c>
    </row>
    <row r="932" spans="1:12" x14ac:dyDescent="0.35">
      <c r="A932" t="s">
        <v>941</v>
      </c>
      <c r="B932" s="5">
        <v>46438</v>
      </c>
      <c r="C932" t="s">
        <v>1213</v>
      </c>
      <c r="D932" t="s">
        <v>1234</v>
      </c>
      <c r="E932" t="s">
        <v>1827</v>
      </c>
      <c r="F932" t="s">
        <v>1902</v>
      </c>
      <c r="G932" t="s">
        <v>1907</v>
      </c>
      <c r="H932" t="s">
        <v>1916</v>
      </c>
      <c r="I932" s="4">
        <v>120</v>
      </c>
      <c r="J932" s="3">
        <v>170</v>
      </c>
      <c r="K932" s="3">
        <f>Table1[[#This Row],[Quantity Sold]]*Table1[[#This Row],[Unit Price (INR)]]</f>
        <v>20400</v>
      </c>
      <c r="L932" t="s">
        <v>1923</v>
      </c>
    </row>
    <row r="933" spans="1:12" x14ac:dyDescent="0.35">
      <c r="A933" t="s">
        <v>942</v>
      </c>
      <c r="B933" s="5">
        <v>46439</v>
      </c>
      <c r="C933" t="s">
        <v>1215</v>
      </c>
      <c r="D933" t="s">
        <v>1242</v>
      </c>
      <c r="E933" t="s">
        <v>1828</v>
      </c>
      <c r="F933" t="s">
        <v>1906</v>
      </c>
      <c r="G933" t="s">
        <v>1908</v>
      </c>
      <c r="H933" t="s">
        <v>1918</v>
      </c>
      <c r="I933" s="4">
        <v>303</v>
      </c>
      <c r="J933" s="3">
        <v>181</v>
      </c>
      <c r="K933" s="3">
        <f>Table1[[#This Row],[Quantity Sold]]*Table1[[#This Row],[Unit Price (INR)]]</f>
        <v>54843</v>
      </c>
      <c r="L933" t="s">
        <v>1921</v>
      </c>
    </row>
    <row r="934" spans="1:12" x14ac:dyDescent="0.35">
      <c r="A934" t="s">
        <v>943</v>
      </c>
      <c r="B934" s="5">
        <v>46440</v>
      </c>
      <c r="C934" t="s">
        <v>1215</v>
      </c>
      <c r="D934" t="s">
        <v>1231</v>
      </c>
      <c r="E934" t="s">
        <v>1495</v>
      </c>
      <c r="F934" t="s">
        <v>1899</v>
      </c>
      <c r="G934" t="s">
        <v>1908</v>
      </c>
      <c r="H934" t="s">
        <v>1913</v>
      </c>
      <c r="I934" s="4">
        <v>86</v>
      </c>
      <c r="J934" s="3">
        <v>387</v>
      </c>
      <c r="K934" s="3">
        <f>Table1[[#This Row],[Quantity Sold]]*Table1[[#This Row],[Unit Price (INR)]]</f>
        <v>33282</v>
      </c>
      <c r="L934" t="s">
        <v>1921</v>
      </c>
    </row>
    <row r="935" spans="1:12" x14ac:dyDescent="0.35">
      <c r="A935" t="s">
        <v>944</v>
      </c>
      <c r="B935" s="5">
        <v>46441</v>
      </c>
      <c r="C935" t="s">
        <v>1214</v>
      </c>
      <c r="D935" t="s">
        <v>1227</v>
      </c>
      <c r="E935" t="s">
        <v>1621</v>
      </c>
      <c r="F935" t="s">
        <v>1904</v>
      </c>
      <c r="G935" t="s">
        <v>1907</v>
      </c>
      <c r="H935" t="s">
        <v>1919</v>
      </c>
      <c r="I935" s="4">
        <v>358</v>
      </c>
      <c r="J935" s="3">
        <v>246</v>
      </c>
      <c r="K935" s="3">
        <f>Table1[[#This Row],[Quantity Sold]]*Table1[[#This Row],[Unit Price (INR)]]</f>
        <v>88068</v>
      </c>
      <c r="L935" t="s">
        <v>1920</v>
      </c>
    </row>
    <row r="936" spans="1:12" x14ac:dyDescent="0.35">
      <c r="A936" t="s">
        <v>945</v>
      </c>
      <c r="B936" s="5">
        <v>46442</v>
      </c>
      <c r="C936" t="s">
        <v>1217</v>
      </c>
      <c r="D936" t="s">
        <v>1238</v>
      </c>
      <c r="E936" t="s">
        <v>1829</v>
      </c>
      <c r="F936" t="s">
        <v>1902</v>
      </c>
      <c r="G936" t="s">
        <v>1908</v>
      </c>
      <c r="H936" t="s">
        <v>1918</v>
      </c>
      <c r="I936" s="4">
        <v>156</v>
      </c>
      <c r="J936" s="3">
        <v>68</v>
      </c>
      <c r="K936" s="3">
        <f>Table1[[#This Row],[Quantity Sold]]*Table1[[#This Row],[Unit Price (INR)]]</f>
        <v>10608</v>
      </c>
      <c r="L936" t="s">
        <v>1923</v>
      </c>
    </row>
    <row r="937" spans="1:12" x14ac:dyDescent="0.35">
      <c r="A937" t="s">
        <v>946</v>
      </c>
      <c r="B937" s="5">
        <v>46443</v>
      </c>
      <c r="C937" t="s">
        <v>1213</v>
      </c>
      <c r="D937" t="s">
        <v>1220</v>
      </c>
      <c r="E937" t="s">
        <v>1830</v>
      </c>
      <c r="F937" t="s">
        <v>1904</v>
      </c>
      <c r="G937" t="s">
        <v>1911</v>
      </c>
      <c r="H937" t="s">
        <v>1917</v>
      </c>
      <c r="I937" s="4">
        <v>76</v>
      </c>
      <c r="J937" s="3">
        <v>179</v>
      </c>
      <c r="K937" s="3">
        <f>Table1[[#This Row],[Quantity Sold]]*Table1[[#This Row],[Unit Price (INR)]]</f>
        <v>13604</v>
      </c>
      <c r="L937" t="s">
        <v>1920</v>
      </c>
    </row>
    <row r="938" spans="1:12" x14ac:dyDescent="0.35">
      <c r="A938" t="s">
        <v>947</v>
      </c>
      <c r="B938" s="5">
        <v>46444</v>
      </c>
      <c r="C938" t="s">
        <v>1216</v>
      </c>
      <c r="D938" t="s">
        <v>1230</v>
      </c>
      <c r="E938" t="s">
        <v>1426</v>
      </c>
      <c r="F938" t="s">
        <v>1897</v>
      </c>
      <c r="G938" t="s">
        <v>1909</v>
      </c>
      <c r="H938" t="s">
        <v>1916</v>
      </c>
      <c r="I938" s="4">
        <v>401</v>
      </c>
      <c r="J938" s="3">
        <v>61</v>
      </c>
      <c r="K938" s="3">
        <f>Table1[[#This Row],[Quantity Sold]]*Table1[[#This Row],[Unit Price (INR)]]</f>
        <v>24461</v>
      </c>
      <c r="L938" t="s">
        <v>1922</v>
      </c>
    </row>
    <row r="939" spans="1:12" x14ac:dyDescent="0.35">
      <c r="A939" t="s">
        <v>948</v>
      </c>
      <c r="B939" s="5">
        <v>46445</v>
      </c>
      <c r="C939" t="s">
        <v>1217</v>
      </c>
      <c r="D939" t="s">
        <v>1238</v>
      </c>
      <c r="E939" t="s">
        <v>1490</v>
      </c>
      <c r="F939" t="s">
        <v>1903</v>
      </c>
      <c r="G939" t="s">
        <v>1910</v>
      </c>
      <c r="H939" t="s">
        <v>1914</v>
      </c>
      <c r="I939" s="4">
        <v>17</v>
      </c>
      <c r="J939" s="3">
        <v>130</v>
      </c>
      <c r="K939" s="3">
        <f>Table1[[#This Row],[Quantity Sold]]*Table1[[#This Row],[Unit Price (INR)]]</f>
        <v>2210</v>
      </c>
      <c r="L939" t="s">
        <v>1921</v>
      </c>
    </row>
    <row r="940" spans="1:12" x14ac:dyDescent="0.35">
      <c r="A940" t="s">
        <v>949</v>
      </c>
      <c r="B940" s="5">
        <v>46446</v>
      </c>
      <c r="C940" t="s">
        <v>1216</v>
      </c>
      <c r="D940" t="s">
        <v>1241</v>
      </c>
      <c r="E940" t="s">
        <v>1831</v>
      </c>
      <c r="F940" t="s">
        <v>1902</v>
      </c>
      <c r="G940" t="s">
        <v>1907</v>
      </c>
      <c r="H940" t="s">
        <v>1916</v>
      </c>
      <c r="I940" s="4">
        <v>131</v>
      </c>
      <c r="J940" s="3">
        <v>379</v>
      </c>
      <c r="K940" s="3">
        <f>Table1[[#This Row],[Quantity Sold]]*Table1[[#This Row],[Unit Price (INR)]]</f>
        <v>49649</v>
      </c>
      <c r="L940" t="s">
        <v>1923</v>
      </c>
    </row>
    <row r="941" spans="1:12" x14ac:dyDescent="0.35">
      <c r="A941" t="s">
        <v>950</v>
      </c>
      <c r="B941" s="5">
        <v>46447</v>
      </c>
      <c r="C941" t="s">
        <v>1217</v>
      </c>
      <c r="D941" t="s">
        <v>1235</v>
      </c>
      <c r="E941" t="s">
        <v>1832</v>
      </c>
      <c r="F941" t="s">
        <v>1906</v>
      </c>
      <c r="G941" t="s">
        <v>1911</v>
      </c>
      <c r="H941" t="s">
        <v>1914</v>
      </c>
      <c r="I941" s="4">
        <v>349</v>
      </c>
      <c r="J941" s="3">
        <v>403</v>
      </c>
      <c r="K941" s="3">
        <f>Table1[[#This Row],[Quantity Sold]]*Table1[[#This Row],[Unit Price (INR)]]</f>
        <v>140647</v>
      </c>
      <c r="L941" t="s">
        <v>1920</v>
      </c>
    </row>
    <row r="942" spans="1:12" x14ac:dyDescent="0.35">
      <c r="A942" t="s">
        <v>951</v>
      </c>
      <c r="B942" s="5">
        <v>46448</v>
      </c>
      <c r="C942" t="s">
        <v>1214</v>
      </c>
      <c r="D942" t="s">
        <v>1227</v>
      </c>
      <c r="E942" t="s">
        <v>1722</v>
      </c>
      <c r="F942" t="s">
        <v>1899</v>
      </c>
      <c r="G942" t="s">
        <v>1910</v>
      </c>
      <c r="H942" t="s">
        <v>1913</v>
      </c>
      <c r="I942" s="4">
        <v>184</v>
      </c>
      <c r="J942" s="3">
        <v>311</v>
      </c>
      <c r="K942" s="3">
        <f>Table1[[#This Row],[Quantity Sold]]*Table1[[#This Row],[Unit Price (INR)]]</f>
        <v>57224</v>
      </c>
      <c r="L942" t="s">
        <v>1920</v>
      </c>
    </row>
    <row r="943" spans="1:12" x14ac:dyDescent="0.35">
      <c r="A943" t="s">
        <v>952</v>
      </c>
      <c r="B943" s="5">
        <v>46449</v>
      </c>
      <c r="C943" t="s">
        <v>1213</v>
      </c>
      <c r="D943" t="s">
        <v>1223</v>
      </c>
      <c r="E943" t="s">
        <v>1833</v>
      </c>
      <c r="F943" t="s">
        <v>1900</v>
      </c>
      <c r="G943" t="s">
        <v>1910</v>
      </c>
      <c r="H943" t="s">
        <v>1917</v>
      </c>
      <c r="I943" s="4">
        <v>397</v>
      </c>
      <c r="J943" s="3">
        <v>441</v>
      </c>
      <c r="K943" s="3">
        <f>Table1[[#This Row],[Quantity Sold]]*Table1[[#This Row],[Unit Price (INR)]]</f>
        <v>175077</v>
      </c>
      <c r="L943" t="s">
        <v>1920</v>
      </c>
    </row>
    <row r="944" spans="1:12" x14ac:dyDescent="0.35">
      <c r="A944" t="s">
        <v>953</v>
      </c>
      <c r="B944" s="5">
        <v>46450</v>
      </c>
      <c r="C944" t="s">
        <v>1213</v>
      </c>
      <c r="D944" t="s">
        <v>1234</v>
      </c>
      <c r="E944" t="s">
        <v>1434</v>
      </c>
      <c r="F944" t="s">
        <v>1897</v>
      </c>
      <c r="G944" t="s">
        <v>1907</v>
      </c>
      <c r="H944" t="s">
        <v>1913</v>
      </c>
      <c r="I944" s="4">
        <v>188</v>
      </c>
      <c r="J944" s="3">
        <v>174</v>
      </c>
      <c r="K944" s="3">
        <f>Table1[[#This Row],[Quantity Sold]]*Table1[[#This Row],[Unit Price (INR)]]</f>
        <v>32712</v>
      </c>
      <c r="L944" t="s">
        <v>1921</v>
      </c>
    </row>
    <row r="945" spans="1:12" x14ac:dyDescent="0.35">
      <c r="A945" t="s">
        <v>954</v>
      </c>
      <c r="B945" s="5">
        <v>46451</v>
      </c>
      <c r="C945" t="s">
        <v>1212</v>
      </c>
      <c r="D945" t="s">
        <v>1233</v>
      </c>
      <c r="E945" t="s">
        <v>1604</v>
      </c>
      <c r="F945" t="s">
        <v>1903</v>
      </c>
      <c r="G945" t="s">
        <v>1911</v>
      </c>
      <c r="H945" t="s">
        <v>1917</v>
      </c>
      <c r="I945" s="4">
        <v>94</v>
      </c>
      <c r="J945" s="3">
        <v>356</v>
      </c>
      <c r="K945" s="3">
        <f>Table1[[#This Row],[Quantity Sold]]*Table1[[#This Row],[Unit Price (INR)]]</f>
        <v>33464</v>
      </c>
      <c r="L945" t="s">
        <v>1921</v>
      </c>
    </row>
    <row r="946" spans="1:12" x14ac:dyDescent="0.35">
      <c r="A946" t="s">
        <v>955</v>
      </c>
      <c r="B946" s="5">
        <v>46452</v>
      </c>
      <c r="C946" t="s">
        <v>1216</v>
      </c>
      <c r="D946" t="s">
        <v>1241</v>
      </c>
      <c r="E946" t="s">
        <v>1493</v>
      </c>
      <c r="F946" t="s">
        <v>1900</v>
      </c>
      <c r="G946" t="s">
        <v>1910</v>
      </c>
      <c r="H946" t="s">
        <v>1916</v>
      </c>
      <c r="I946" s="4">
        <v>460</v>
      </c>
      <c r="J946" s="3">
        <v>316</v>
      </c>
      <c r="K946" s="3">
        <f>Table1[[#This Row],[Quantity Sold]]*Table1[[#This Row],[Unit Price (INR)]]</f>
        <v>145360</v>
      </c>
      <c r="L946" t="s">
        <v>1921</v>
      </c>
    </row>
    <row r="947" spans="1:12" x14ac:dyDescent="0.35">
      <c r="A947" t="s">
        <v>956</v>
      </c>
      <c r="B947" s="5">
        <v>46453</v>
      </c>
      <c r="C947" t="s">
        <v>1217</v>
      </c>
      <c r="D947" t="s">
        <v>1246</v>
      </c>
      <c r="E947" t="s">
        <v>1700</v>
      </c>
      <c r="F947" t="s">
        <v>1898</v>
      </c>
      <c r="G947" t="s">
        <v>1910</v>
      </c>
      <c r="H947" t="s">
        <v>1914</v>
      </c>
      <c r="I947" s="4">
        <v>54</v>
      </c>
      <c r="J947" s="3">
        <v>496</v>
      </c>
      <c r="K947" s="3">
        <f>Table1[[#This Row],[Quantity Sold]]*Table1[[#This Row],[Unit Price (INR)]]</f>
        <v>26784</v>
      </c>
      <c r="L947" t="s">
        <v>1923</v>
      </c>
    </row>
    <row r="948" spans="1:12" x14ac:dyDescent="0.35">
      <c r="A948" t="s">
        <v>957</v>
      </c>
      <c r="B948" s="5">
        <v>46454</v>
      </c>
      <c r="C948" t="s">
        <v>1217</v>
      </c>
      <c r="D948" t="s">
        <v>1238</v>
      </c>
      <c r="E948" t="s">
        <v>1401</v>
      </c>
      <c r="F948" t="s">
        <v>1897</v>
      </c>
      <c r="G948" t="s">
        <v>1911</v>
      </c>
      <c r="H948" t="s">
        <v>1913</v>
      </c>
      <c r="I948" s="4">
        <v>145</v>
      </c>
      <c r="J948" s="3">
        <v>490</v>
      </c>
      <c r="K948" s="3">
        <f>Table1[[#This Row],[Quantity Sold]]*Table1[[#This Row],[Unit Price (INR)]]</f>
        <v>71050</v>
      </c>
      <c r="L948" t="s">
        <v>1921</v>
      </c>
    </row>
    <row r="949" spans="1:12" x14ac:dyDescent="0.35">
      <c r="A949" t="s">
        <v>958</v>
      </c>
      <c r="B949" s="5">
        <v>46455</v>
      </c>
      <c r="C949" t="s">
        <v>1215</v>
      </c>
      <c r="D949" t="s">
        <v>1225</v>
      </c>
      <c r="E949" t="s">
        <v>1648</v>
      </c>
      <c r="F949" t="s">
        <v>1899</v>
      </c>
      <c r="G949" t="s">
        <v>1908</v>
      </c>
      <c r="H949" t="s">
        <v>1917</v>
      </c>
      <c r="I949" s="4">
        <v>352</v>
      </c>
      <c r="J949" s="3">
        <v>432</v>
      </c>
      <c r="K949" s="3">
        <f>Table1[[#This Row],[Quantity Sold]]*Table1[[#This Row],[Unit Price (INR)]]</f>
        <v>152064</v>
      </c>
      <c r="L949" t="s">
        <v>1923</v>
      </c>
    </row>
    <row r="950" spans="1:12" x14ac:dyDescent="0.35">
      <c r="A950" t="s">
        <v>959</v>
      </c>
      <c r="B950" s="5">
        <v>46456</v>
      </c>
      <c r="C950" t="s">
        <v>1212</v>
      </c>
      <c r="D950" t="s">
        <v>1240</v>
      </c>
      <c r="E950" t="s">
        <v>1834</v>
      </c>
      <c r="F950" t="s">
        <v>1901</v>
      </c>
      <c r="G950" t="s">
        <v>1910</v>
      </c>
      <c r="H950" t="s">
        <v>1915</v>
      </c>
      <c r="I950" s="4">
        <v>25</v>
      </c>
      <c r="J950" s="3">
        <v>189</v>
      </c>
      <c r="K950" s="3">
        <f>Table1[[#This Row],[Quantity Sold]]*Table1[[#This Row],[Unit Price (INR)]]</f>
        <v>4725</v>
      </c>
      <c r="L950" t="s">
        <v>1920</v>
      </c>
    </row>
    <row r="951" spans="1:12" x14ac:dyDescent="0.35">
      <c r="A951" t="s">
        <v>960</v>
      </c>
      <c r="B951" s="5">
        <v>46457</v>
      </c>
      <c r="C951" t="s">
        <v>1211</v>
      </c>
      <c r="D951" t="s">
        <v>1221</v>
      </c>
      <c r="E951" t="s">
        <v>1835</v>
      </c>
      <c r="F951" t="s">
        <v>1902</v>
      </c>
      <c r="G951" t="s">
        <v>1909</v>
      </c>
      <c r="H951" t="s">
        <v>1918</v>
      </c>
      <c r="I951" s="4">
        <v>342</v>
      </c>
      <c r="J951" s="3">
        <v>378</v>
      </c>
      <c r="K951" s="3">
        <f>Table1[[#This Row],[Quantity Sold]]*Table1[[#This Row],[Unit Price (INR)]]</f>
        <v>129276</v>
      </c>
      <c r="L951" t="s">
        <v>1920</v>
      </c>
    </row>
    <row r="952" spans="1:12" x14ac:dyDescent="0.35">
      <c r="A952" t="s">
        <v>961</v>
      </c>
      <c r="B952" s="5">
        <v>46458</v>
      </c>
      <c r="C952" t="s">
        <v>1211</v>
      </c>
      <c r="D952" t="s">
        <v>1218</v>
      </c>
      <c r="E952" t="s">
        <v>1836</v>
      </c>
      <c r="F952" t="s">
        <v>1904</v>
      </c>
      <c r="G952" t="s">
        <v>1911</v>
      </c>
      <c r="H952" t="s">
        <v>1918</v>
      </c>
      <c r="I952" s="4">
        <v>204</v>
      </c>
      <c r="J952" s="3">
        <v>51</v>
      </c>
      <c r="K952" s="3">
        <f>Table1[[#This Row],[Quantity Sold]]*Table1[[#This Row],[Unit Price (INR)]]</f>
        <v>10404</v>
      </c>
      <c r="L952" t="s">
        <v>1922</v>
      </c>
    </row>
    <row r="953" spans="1:12" x14ac:dyDescent="0.35">
      <c r="A953" t="s">
        <v>962</v>
      </c>
      <c r="B953" s="5">
        <v>46459</v>
      </c>
      <c r="C953" t="s">
        <v>1215</v>
      </c>
      <c r="D953" t="s">
        <v>1243</v>
      </c>
      <c r="E953" t="s">
        <v>1837</v>
      </c>
      <c r="F953" t="s">
        <v>1899</v>
      </c>
      <c r="G953" t="s">
        <v>1910</v>
      </c>
      <c r="H953" t="s">
        <v>1913</v>
      </c>
      <c r="I953" s="4">
        <v>18</v>
      </c>
      <c r="J953" s="3">
        <v>57</v>
      </c>
      <c r="K953" s="3">
        <f>Table1[[#This Row],[Quantity Sold]]*Table1[[#This Row],[Unit Price (INR)]]</f>
        <v>1026</v>
      </c>
      <c r="L953" t="s">
        <v>1921</v>
      </c>
    </row>
    <row r="954" spans="1:12" x14ac:dyDescent="0.35">
      <c r="A954" t="s">
        <v>963</v>
      </c>
      <c r="B954" s="5">
        <v>46460</v>
      </c>
      <c r="C954" t="s">
        <v>1215</v>
      </c>
      <c r="D954" t="s">
        <v>1225</v>
      </c>
      <c r="E954" t="s">
        <v>1462</v>
      </c>
      <c r="F954" t="s">
        <v>1902</v>
      </c>
      <c r="G954" t="s">
        <v>1907</v>
      </c>
      <c r="H954" t="s">
        <v>1914</v>
      </c>
      <c r="I954" s="4">
        <v>325</v>
      </c>
      <c r="J954" s="3">
        <v>299</v>
      </c>
      <c r="K954" s="3">
        <f>Table1[[#This Row],[Quantity Sold]]*Table1[[#This Row],[Unit Price (INR)]]</f>
        <v>97175</v>
      </c>
      <c r="L954" t="s">
        <v>1920</v>
      </c>
    </row>
    <row r="955" spans="1:12" x14ac:dyDescent="0.35">
      <c r="A955" t="s">
        <v>964</v>
      </c>
      <c r="B955" s="5">
        <v>46461</v>
      </c>
      <c r="C955" t="s">
        <v>1215</v>
      </c>
      <c r="D955" t="s">
        <v>1231</v>
      </c>
      <c r="E955" t="s">
        <v>1592</v>
      </c>
      <c r="F955" t="s">
        <v>1900</v>
      </c>
      <c r="G955" t="s">
        <v>1909</v>
      </c>
      <c r="H955" t="s">
        <v>1915</v>
      </c>
      <c r="I955" s="4">
        <v>343</v>
      </c>
      <c r="J955" s="3">
        <v>188</v>
      </c>
      <c r="K955" s="3">
        <f>Table1[[#This Row],[Quantity Sold]]*Table1[[#This Row],[Unit Price (INR)]]</f>
        <v>64484</v>
      </c>
      <c r="L955" t="s">
        <v>1921</v>
      </c>
    </row>
    <row r="956" spans="1:12" x14ac:dyDescent="0.35">
      <c r="A956" t="s">
        <v>965</v>
      </c>
      <c r="B956" s="5">
        <v>46462</v>
      </c>
      <c r="C956" t="s">
        <v>1216</v>
      </c>
      <c r="D956" t="s">
        <v>1239</v>
      </c>
      <c r="E956" t="s">
        <v>1810</v>
      </c>
      <c r="F956" t="s">
        <v>1904</v>
      </c>
      <c r="G956" t="s">
        <v>1910</v>
      </c>
      <c r="H956" t="s">
        <v>1913</v>
      </c>
      <c r="I956" s="4">
        <v>342</v>
      </c>
      <c r="J956" s="3">
        <v>173</v>
      </c>
      <c r="K956" s="3">
        <f>Table1[[#This Row],[Quantity Sold]]*Table1[[#This Row],[Unit Price (INR)]]</f>
        <v>59166</v>
      </c>
      <c r="L956" t="s">
        <v>1923</v>
      </c>
    </row>
    <row r="957" spans="1:12" x14ac:dyDescent="0.35">
      <c r="A957" t="s">
        <v>966</v>
      </c>
      <c r="B957" s="5">
        <v>46463</v>
      </c>
      <c r="C957" t="s">
        <v>1216</v>
      </c>
      <c r="D957" t="s">
        <v>1241</v>
      </c>
      <c r="E957" t="s">
        <v>1562</v>
      </c>
      <c r="F957" t="s">
        <v>1905</v>
      </c>
      <c r="G957" t="s">
        <v>1909</v>
      </c>
      <c r="H957" t="s">
        <v>1916</v>
      </c>
      <c r="I957" s="4">
        <v>336</v>
      </c>
      <c r="J957" s="3">
        <v>358</v>
      </c>
      <c r="K957" s="3">
        <f>Table1[[#This Row],[Quantity Sold]]*Table1[[#This Row],[Unit Price (INR)]]</f>
        <v>120288</v>
      </c>
      <c r="L957" t="s">
        <v>1920</v>
      </c>
    </row>
    <row r="958" spans="1:12" x14ac:dyDescent="0.35">
      <c r="A958" t="s">
        <v>967</v>
      </c>
      <c r="B958" s="5">
        <v>46464</v>
      </c>
      <c r="C958" t="s">
        <v>1214</v>
      </c>
      <c r="D958" t="s">
        <v>1227</v>
      </c>
      <c r="E958" t="s">
        <v>1838</v>
      </c>
      <c r="F958" t="s">
        <v>1906</v>
      </c>
      <c r="G958" t="s">
        <v>1909</v>
      </c>
      <c r="H958" t="s">
        <v>1917</v>
      </c>
      <c r="I958" s="4">
        <v>24</v>
      </c>
      <c r="J958" s="3">
        <v>277</v>
      </c>
      <c r="K958" s="3">
        <f>Table1[[#This Row],[Quantity Sold]]*Table1[[#This Row],[Unit Price (INR)]]</f>
        <v>6648</v>
      </c>
      <c r="L958" t="s">
        <v>1921</v>
      </c>
    </row>
    <row r="959" spans="1:12" x14ac:dyDescent="0.35">
      <c r="A959" t="s">
        <v>968</v>
      </c>
      <c r="B959" s="5">
        <v>46465</v>
      </c>
      <c r="C959" t="s">
        <v>1214</v>
      </c>
      <c r="D959" t="s">
        <v>1227</v>
      </c>
      <c r="E959" t="s">
        <v>1773</v>
      </c>
      <c r="F959" t="s">
        <v>1898</v>
      </c>
      <c r="G959" t="s">
        <v>1908</v>
      </c>
      <c r="H959" t="s">
        <v>1912</v>
      </c>
      <c r="I959" s="4">
        <v>336</v>
      </c>
      <c r="J959" s="3">
        <v>59</v>
      </c>
      <c r="K959" s="3">
        <f>Table1[[#This Row],[Quantity Sold]]*Table1[[#This Row],[Unit Price (INR)]]</f>
        <v>19824</v>
      </c>
      <c r="L959" t="s">
        <v>1920</v>
      </c>
    </row>
    <row r="960" spans="1:12" x14ac:dyDescent="0.35">
      <c r="A960" t="s">
        <v>969</v>
      </c>
      <c r="B960" s="5">
        <v>46466</v>
      </c>
      <c r="C960" t="s">
        <v>1215</v>
      </c>
      <c r="D960" t="s">
        <v>1242</v>
      </c>
      <c r="E960" t="s">
        <v>1484</v>
      </c>
      <c r="F960" t="s">
        <v>1897</v>
      </c>
      <c r="G960" t="s">
        <v>1909</v>
      </c>
      <c r="H960" t="s">
        <v>1916</v>
      </c>
      <c r="I960" s="4">
        <v>111</v>
      </c>
      <c r="J960" s="3">
        <v>261</v>
      </c>
      <c r="K960" s="3">
        <f>Table1[[#This Row],[Quantity Sold]]*Table1[[#This Row],[Unit Price (INR)]]</f>
        <v>28971</v>
      </c>
      <c r="L960" t="s">
        <v>1920</v>
      </c>
    </row>
    <row r="961" spans="1:12" x14ac:dyDescent="0.35">
      <c r="A961" t="s">
        <v>970</v>
      </c>
      <c r="B961" s="5">
        <v>46467</v>
      </c>
      <c r="C961" t="s">
        <v>1212</v>
      </c>
      <c r="D961" t="s">
        <v>1240</v>
      </c>
      <c r="E961" t="s">
        <v>1839</v>
      </c>
      <c r="F961" t="s">
        <v>1899</v>
      </c>
      <c r="G961" t="s">
        <v>1908</v>
      </c>
      <c r="H961" t="s">
        <v>1918</v>
      </c>
      <c r="I961" s="4">
        <v>235</v>
      </c>
      <c r="J961" s="3">
        <v>161</v>
      </c>
      <c r="K961" s="3">
        <f>Table1[[#This Row],[Quantity Sold]]*Table1[[#This Row],[Unit Price (INR)]]</f>
        <v>37835</v>
      </c>
      <c r="L961" t="s">
        <v>1921</v>
      </c>
    </row>
    <row r="962" spans="1:12" x14ac:dyDescent="0.35">
      <c r="A962" t="s">
        <v>971</v>
      </c>
      <c r="B962" s="5">
        <v>46468</v>
      </c>
      <c r="C962" t="s">
        <v>1217</v>
      </c>
      <c r="D962" t="s">
        <v>1245</v>
      </c>
      <c r="E962" t="s">
        <v>1840</v>
      </c>
      <c r="F962" t="s">
        <v>1898</v>
      </c>
      <c r="G962" t="s">
        <v>1911</v>
      </c>
      <c r="H962" t="s">
        <v>1917</v>
      </c>
      <c r="I962" s="4">
        <v>434</v>
      </c>
      <c r="J962" s="3">
        <v>57</v>
      </c>
      <c r="K962" s="3">
        <f>Table1[[#This Row],[Quantity Sold]]*Table1[[#This Row],[Unit Price (INR)]]</f>
        <v>24738</v>
      </c>
      <c r="L962" t="s">
        <v>1920</v>
      </c>
    </row>
    <row r="963" spans="1:12" x14ac:dyDescent="0.35">
      <c r="A963" t="s">
        <v>972</v>
      </c>
      <c r="B963" s="5">
        <v>46469</v>
      </c>
      <c r="C963" t="s">
        <v>1216</v>
      </c>
      <c r="D963" t="s">
        <v>1239</v>
      </c>
      <c r="E963" t="s">
        <v>1575</v>
      </c>
      <c r="F963" t="s">
        <v>1901</v>
      </c>
      <c r="G963" t="s">
        <v>1908</v>
      </c>
      <c r="H963" t="s">
        <v>1913</v>
      </c>
      <c r="I963" s="4">
        <v>287</v>
      </c>
      <c r="J963" s="3">
        <v>341</v>
      </c>
      <c r="K963" s="3">
        <f>Table1[[#This Row],[Quantity Sold]]*Table1[[#This Row],[Unit Price (INR)]]</f>
        <v>97867</v>
      </c>
      <c r="L963" t="s">
        <v>1920</v>
      </c>
    </row>
    <row r="964" spans="1:12" x14ac:dyDescent="0.35">
      <c r="A964" t="s">
        <v>973</v>
      </c>
      <c r="B964" s="5">
        <v>46470</v>
      </c>
      <c r="C964" t="s">
        <v>1212</v>
      </c>
      <c r="D964" t="s">
        <v>1240</v>
      </c>
      <c r="E964" t="s">
        <v>1458</v>
      </c>
      <c r="F964" t="s">
        <v>1902</v>
      </c>
      <c r="G964" t="s">
        <v>1907</v>
      </c>
      <c r="H964" t="s">
        <v>1916</v>
      </c>
      <c r="I964" s="4">
        <v>417</v>
      </c>
      <c r="J964" s="3">
        <v>411</v>
      </c>
      <c r="K964" s="3">
        <f>Table1[[#This Row],[Quantity Sold]]*Table1[[#This Row],[Unit Price (INR)]]</f>
        <v>171387</v>
      </c>
      <c r="L964" t="s">
        <v>1920</v>
      </c>
    </row>
    <row r="965" spans="1:12" x14ac:dyDescent="0.35">
      <c r="A965" t="s">
        <v>974</v>
      </c>
      <c r="B965" s="5">
        <v>46471</v>
      </c>
      <c r="C965" t="s">
        <v>1213</v>
      </c>
      <c r="D965" t="s">
        <v>1220</v>
      </c>
      <c r="E965" t="s">
        <v>1493</v>
      </c>
      <c r="F965" t="s">
        <v>1902</v>
      </c>
      <c r="G965" t="s">
        <v>1910</v>
      </c>
      <c r="H965" t="s">
        <v>1919</v>
      </c>
      <c r="I965" s="4">
        <v>122</v>
      </c>
      <c r="J965" s="3">
        <v>302</v>
      </c>
      <c r="K965" s="3">
        <f>Table1[[#This Row],[Quantity Sold]]*Table1[[#This Row],[Unit Price (INR)]]</f>
        <v>36844</v>
      </c>
      <c r="L965" t="s">
        <v>1920</v>
      </c>
    </row>
    <row r="966" spans="1:12" x14ac:dyDescent="0.35">
      <c r="A966" t="s">
        <v>975</v>
      </c>
      <c r="B966" s="5">
        <v>46472</v>
      </c>
      <c r="C966" t="s">
        <v>1216</v>
      </c>
      <c r="D966" t="s">
        <v>1241</v>
      </c>
      <c r="E966" t="s">
        <v>1302</v>
      </c>
      <c r="F966" t="s">
        <v>1899</v>
      </c>
      <c r="G966" t="s">
        <v>1911</v>
      </c>
      <c r="H966" t="s">
        <v>1912</v>
      </c>
      <c r="I966" s="4">
        <v>494</v>
      </c>
      <c r="J966" s="3">
        <v>63</v>
      </c>
      <c r="K966" s="3">
        <f>Table1[[#This Row],[Quantity Sold]]*Table1[[#This Row],[Unit Price (INR)]]</f>
        <v>31122</v>
      </c>
      <c r="L966" t="s">
        <v>1923</v>
      </c>
    </row>
    <row r="967" spans="1:12" x14ac:dyDescent="0.35">
      <c r="A967" t="s">
        <v>976</v>
      </c>
      <c r="B967" s="5">
        <v>46473</v>
      </c>
      <c r="C967" t="s">
        <v>1216</v>
      </c>
      <c r="D967" t="s">
        <v>1241</v>
      </c>
      <c r="E967" t="s">
        <v>1304</v>
      </c>
      <c r="F967" t="s">
        <v>1903</v>
      </c>
      <c r="G967" t="s">
        <v>1911</v>
      </c>
      <c r="H967" t="s">
        <v>1914</v>
      </c>
      <c r="I967" s="4">
        <v>437</v>
      </c>
      <c r="J967" s="3">
        <v>289</v>
      </c>
      <c r="K967" s="3">
        <f>Table1[[#This Row],[Quantity Sold]]*Table1[[#This Row],[Unit Price (INR)]]</f>
        <v>126293</v>
      </c>
      <c r="L967" t="s">
        <v>1920</v>
      </c>
    </row>
    <row r="968" spans="1:12" x14ac:dyDescent="0.35">
      <c r="A968" t="s">
        <v>977</v>
      </c>
      <c r="B968" s="5">
        <v>46474</v>
      </c>
      <c r="C968" t="s">
        <v>1214</v>
      </c>
      <c r="D968" t="s">
        <v>1227</v>
      </c>
      <c r="E968" t="s">
        <v>1393</v>
      </c>
      <c r="F968" t="s">
        <v>1903</v>
      </c>
      <c r="G968" t="s">
        <v>1907</v>
      </c>
      <c r="H968" t="s">
        <v>1915</v>
      </c>
      <c r="I968" s="4">
        <v>10</v>
      </c>
      <c r="J968" s="3">
        <v>487</v>
      </c>
      <c r="K968" s="3">
        <f>Table1[[#This Row],[Quantity Sold]]*Table1[[#This Row],[Unit Price (INR)]]</f>
        <v>4870</v>
      </c>
      <c r="L968" t="s">
        <v>1922</v>
      </c>
    </row>
    <row r="969" spans="1:12" x14ac:dyDescent="0.35">
      <c r="A969" t="s">
        <v>978</v>
      </c>
      <c r="B969" s="5">
        <v>46475</v>
      </c>
      <c r="C969" t="s">
        <v>1217</v>
      </c>
      <c r="D969" t="s">
        <v>1237</v>
      </c>
      <c r="E969" t="s">
        <v>1841</v>
      </c>
      <c r="F969" t="s">
        <v>1905</v>
      </c>
      <c r="G969" t="s">
        <v>1908</v>
      </c>
      <c r="H969" t="s">
        <v>1915</v>
      </c>
      <c r="I969" s="4">
        <v>275</v>
      </c>
      <c r="J969" s="3">
        <v>291</v>
      </c>
      <c r="K969" s="3">
        <f>Table1[[#This Row],[Quantity Sold]]*Table1[[#This Row],[Unit Price (INR)]]</f>
        <v>80025</v>
      </c>
      <c r="L969" t="s">
        <v>1920</v>
      </c>
    </row>
    <row r="970" spans="1:12" x14ac:dyDescent="0.35">
      <c r="A970" t="s">
        <v>979</v>
      </c>
      <c r="B970" s="5">
        <v>46476</v>
      </c>
      <c r="C970" t="s">
        <v>1217</v>
      </c>
      <c r="D970" t="s">
        <v>1235</v>
      </c>
      <c r="E970" t="s">
        <v>1406</v>
      </c>
      <c r="F970" t="s">
        <v>1906</v>
      </c>
      <c r="G970" t="s">
        <v>1910</v>
      </c>
      <c r="H970" t="s">
        <v>1914</v>
      </c>
      <c r="I970" s="4">
        <v>217</v>
      </c>
      <c r="J970" s="3">
        <v>391</v>
      </c>
      <c r="K970" s="3">
        <f>Table1[[#This Row],[Quantity Sold]]*Table1[[#This Row],[Unit Price (INR)]]</f>
        <v>84847</v>
      </c>
      <c r="L970" t="s">
        <v>1921</v>
      </c>
    </row>
    <row r="971" spans="1:12" x14ac:dyDescent="0.35">
      <c r="A971" t="s">
        <v>980</v>
      </c>
      <c r="B971" s="5">
        <v>46477</v>
      </c>
      <c r="C971" t="s">
        <v>1211</v>
      </c>
      <c r="D971" t="s">
        <v>1221</v>
      </c>
      <c r="E971" t="s">
        <v>1838</v>
      </c>
      <c r="F971" t="s">
        <v>1904</v>
      </c>
      <c r="G971" t="s">
        <v>1908</v>
      </c>
      <c r="H971" t="s">
        <v>1919</v>
      </c>
      <c r="I971" s="4">
        <v>119</v>
      </c>
      <c r="J971" s="3">
        <v>198</v>
      </c>
      <c r="K971" s="3">
        <f>Table1[[#This Row],[Quantity Sold]]*Table1[[#This Row],[Unit Price (INR)]]</f>
        <v>23562</v>
      </c>
      <c r="L971" t="s">
        <v>1922</v>
      </c>
    </row>
    <row r="972" spans="1:12" x14ac:dyDescent="0.35">
      <c r="A972" t="s">
        <v>981</v>
      </c>
      <c r="B972" s="5">
        <v>46478</v>
      </c>
      <c r="C972" t="s">
        <v>1211</v>
      </c>
      <c r="D972" t="s">
        <v>1221</v>
      </c>
      <c r="E972" t="s">
        <v>1313</v>
      </c>
      <c r="F972" t="s">
        <v>1901</v>
      </c>
      <c r="G972" t="s">
        <v>1909</v>
      </c>
      <c r="H972" t="s">
        <v>1918</v>
      </c>
      <c r="I972" s="4">
        <v>209</v>
      </c>
      <c r="J972" s="3">
        <v>285</v>
      </c>
      <c r="K972" s="3">
        <f>Table1[[#This Row],[Quantity Sold]]*Table1[[#This Row],[Unit Price (INR)]]</f>
        <v>59565</v>
      </c>
      <c r="L972" t="s">
        <v>1923</v>
      </c>
    </row>
    <row r="973" spans="1:12" x14ac:dyDescent="0.35">
      <c r="A973" t="s">
        <v>982</v>
      </c>
      <c r="B973" s="5">
        <v>46479</v>
      </c>
      <c r="C973" t="s">
        <v>1211</v>
      </c>
      <c r="D973" t="s">
        <v>1221</v>
      </c>
      <c r="E973" t="s">
        <v>1448</v>
      </c>
      <c r="F973" t="s">
        <v>1898</v>
      </c>
      <c r="G973" t="s">
        <v>1908</v>
      </c>
      <c r="H973" t="s">
        <v>1917</v>
      </c>
      <c r="I973" s="4">
        <v>449</v>
      </c>
      <c r="J973" s="3">
        <v>355</v>
      </c>
      <c r="K973" s="3">
        <f>Table1[[#This Row],[Quantity Sold]]*Table1[[#This Row],[Unit Price (INR)]]</f>
        <v>159395</v>
      </c>
      <c r="L973" t="s">
        <v>1922</v>
      </c>
    </row>
    <row r="974" spans="1:12" x14ac:dyDescent="0.35">
      <c r="A974" t="s">
        <v>983</v>
      </c>
      <c r="B974" s="5">
        <v>46480</v>
      </c>
      <c r="C974" t="s">
        <v>1211</v>
      </c>
      <c r="D974" t="s">
        <v>1218</v>
      </c>
      <c r="E974" t="s">
        <v>1664</v>
      </c>
      <c r="F974" t="s">
        <v>1903</v>
      </c>
      <c r="G974" t="s">
        <v>1911</v>
      </c>
      <c r="H974" t="s">
        <v>1914</v>
      </c>
      <c r="I974" s="4">
        <v>378</v>
      </c>
      <c r="J974" s="3">
        <v>216</v>
      </c>
      <c r="K974" s="3">
        <f>Table1[[#This Row],[Quantity Sold]]*Table1[[#This Row],[Unit Price (INR)]]</f>
        <v>81648</v>
      </c>
      <c r="L974" t="s">
        <v>1922</v>
      </c>
    </row>
    <row r="975" spans="1:12" x14ac:dyDescent="0.35">
      <c r="A975" t="s">
        <v>984</v>
      </c>
      <c r="B975" s="5">
        <v>46481</v>
      </c>
      <c r="C975" t="s">
        <v>1213</v>
      </c>
      <c r="D975" t="s">
        <v>1220</v>
      </c>
      <c r="E975" t="s">
        <v>1418</v>
      </c>
      <c r="F975" t="s">
        <v>1905</v>
      </c>
      <c r="G975" t="s">
        <v>1910</v>
      </c>
      <c r="H975" t="s">
        <v>1919</v>
      </c>
      <c r="I975" s="4">
        <v>482</v>
      </c>
      <c r="J975" s="3">
        <v>69</v>
      </c>
      <c r="K975" s="3">
        <f>Table1[[#This Row],[Quantity Sold]]*Table1[[#This Row],[Unit Price (INR)]]</f>
        <v>33258</v>
      </c>
      <c r="L975" t="s">
        <v>1922</v>
      </c>
    </row>
    <row r="976" spans="1:12" x14ac:dyDescent="0.35">
      <c r="A976" t="s">
        <v>985</v>
      </c>
      <c r="B976" s="5">
        <v>46482</v>
      </c>
      <c r="C976" t="s">
        <v>1213</v>
      </c>
      <c r="D976" t="s">
        <v>1244</v>
      </c>
      <c r="E976" t="s">
        <v>1294</v>
      </c>
      <c r="F976" t="s">
        <v>1905</v>
      </c>
      <c r="G976" t="s">
        <v>1908</v>
      </c>
      <c r="H976" t="s">
        <v>1913</v>
      </c>
      <c r="I976" s="4">
        <v>315</v>
      </c>
      <c r="J976" s="3">
        <v>265</v>
      </c>
      <c r="K976" s="3">
        <f>Table1[[#This Row],[Quantity Sold]]*Table1[[#This Row],[Unit Price (INR)]]</f>
        <v>83475</v>
      </c>
      <c r="L976" t="s">
        <v>1921</v>
      </c>
    </row>
    <row r="977" spans="1:12" x14ac:dyDescent="0.35">
      <c r="A977" t="s">
        <v>986</v>
      </c>
      <c r="B977" s="5">
        <v>46483</v>
      </c>
      <c r="C977" t="s">
        <v>1216</v>
      </c>
      <c r="D977" t="s">
        <v>1232</v>
      </c>
      <c r="E977" t="s">
        <v>1551</v>
      </c>
      <c r="F977" t="s">
        <v>1899</v>
      </c>
      <c r="G977" t="s">
        <v>1910</v>
      </c>
      <c r="H977" t="s">
        <v>1912</v>
      </c>
      <c r="I977" s="4">
        <v>21</v>
      </c>
      <c r="J977" s="3">
        <v>392</v>
      </c>
      <c r="K977" s="3">
        <f>Table1[[#This Row],[Quantity Sold]]*Table1[[#This Row],[Unit Price (INR)]]</f>
        <v>8232</v>
      </c>
      <c r="L977" t="s">
        <v>1921</v>
      </c>
    </row>
    <row r="978" spans="1:12" x14ac:dyDescent="0.35">
      <c r="A978" t="s">
        <v>987</v>
      </c>
      <c r="B978" s="5">
        <v>46484</v>
      </c>
      <c r="C978" t="s">
        <v>1215</v>
      </c>
      <c r="D978" t="s">
        <v>1242</v>
      </c>
      <c r="E978" t="s">
        <v>1329</v>
      </c>
      <c r="F978" t="s">
        <v>1901</v>
      </c>
      <c r="G978" t="s">
        <v>1910</v>
      </c>
      <c r="H978" t="s">
        <v>1915</v>
      </c>
      <c r="I978" s="4">
        <v>354</v>
      </c>
      <c r="J978" s="3">
        <v>184</v>
      </c>
      <c r="K978" s="3">
        <f>Table1[[#This Row],[Quantity Sold]]*Table1[[#This Row],[Unit Price (INR)]]</f>
        <v>65136</v>
      </c>
      <c r="L978" t="s">
        <v>1921</v>
      </c>
    </row>
    <row r="979" spans="1:12" x14ac:dyDescent="0.35">
      <c r="A979" t="s">
        <v>988</v>
      </c>
      <c r="B979" s="5">
        <v>46485</v>
      </c>
      <c r="C979" t="s">
        <v>1214</v>
      </c>
      <c r="D979" t="s">
        <v>1227</v>
      </c>
      <c r="E979" t="s">
        <v>1300</v>
      </c>
      <c r="F979" t="s">
        <v>1900</v>
      </c>
      <c r="G979" t="s">
        <v>1909</v>
      </c>
      <c r="H979" t="s">
        <v>1912</v>
      </c>
      <c r="I979" s="4">
        <v>474</v>
      </c>
      <c r="J979" s="3">
        <v>442</v>
      </c>
      <c r="K979" s="3">
        <f>Table1[[#This Row],[Quantity Sold]]*Table1[[#This Row],[Unit Price (INR)]]</f>
        <v>209508</v>
      </c>
      <c r="L979" t="s">
        <v>1923</v>
      </c>
    </row>
    <row r="980" spans="1:12" x14ac:dyDescent="0.35">
      <c r="A980" t="s">
        <v>989</v>
      </c>
      <c r="B980" s="5">
        <v>46486</v>
      </c>
      <c r="C980" t="s">
        <v>1214</v>
      </c>
      <c r="D980" t="s">
        <v>1226</v>
      </c>
      <c r="E980" t="s">
        <v>1767</v>
      </c>
      <c r="F980" t="s">
        <v>1904</v>
      </c>
      <c r="G980" t="s">
        <v>1909</v>
      </c>
      <c r="H980" t="s">
        <v>1919</v>
      </c>
      <c r="I980" s="4">
        <v>197</v>
      </c>
      <c r="J980" s="3">
        <v>178</v>
      </c>
      <c r="K980" s="3">
        <f>Table1[[#This Row],[Quantity Sold]]*Table1[[#This Row],[Unit Price (INR)]]</f>
        <v>35066</v>
      </c>
      <c r="L980" t="s">
        <v>1921</v>
      </c>
    </row>
    <row r="981" spans="1:12" x14ac:dyDescent="0.35">
      <c r="A981" t="s">
        <v>990</v>
      </c>
      <c r="B981" s="5">
        <v>46487</v>
      </c>
      <c r="C981" t="s">
        <v>1211</v>
      </c>
      <c r="D981" t="s">
        <v>1221</v>
      </c>
      <c r="E981" t="s">
        <v>1842</v>
      </c>
      <c r="F981" t="s">
        <v>1906</v>
      </c>
      <c r="G981" t="s">
        <v>1911</v>
      </c>
      <c r="H981" t="s">
        <v>1912</v>
      </c>
      <c r="I981" s="4">
        <v>163</v>
      </c>
      <c r="J981" s="3">
        <v>459</v>
      </c>
      <c r="K981" s="3">
        <f>Table1[[#This Row],[Quantity Sold]]*Table1[[#This Row],[Unit Price (INR)]]</f>
        <v>74817</v>
      </c>
      <c r="L981" t="s">
        <v>1921</v>
      </c>
    </row>
    <row r="982" spans="1:12" x14ac:dyDescent="0.35">
      <c r="A982" t="s">
        <v>991</v>
      </c>
      <c r="B982" s="5">
        <v>46488</v>
      </c>
      <c r="C982" t="s">
        <v>1216</v>
      </c>
      <c r="D982" t="s">
        <v>1230</v>
      </c>
      <c r="E982" t="s">
        <v>1841</v>
      </c>
      <c r="F982" t="s">
        <v>1897</v>
      </c>
      <c r="G982" t="s">
        <v>1907</v>
      </c>
      <c r="H982" t="s">
        <v>1918</v>
      </c>
      <c r="I982" s="4">
        <v>377</v>
      </c>
      <c r="J982" s="3">
        <v>471</v>
      </c>
      <c r="K982" s="3">
        <f>Table1[[#This Row],[Quantity Sold]]*Table1[[#This Row],[Unit Price (INR)]]</f>
        <v>177567</v>
      </c>
      <c r="L982" t="s">
        <v>1922</v>
      </c>
    </row>
    <row r="983" spans="1:12" x14ac:dyDescent="0.35">
      <c r="A983" t="s">
        <v>992</v>
      </c>
      <c r="B983" s="5">
        <v>46489</v>
      </c>
      <c r="C983" t="s">
        <v>1212</v>
      </c>
      <c r="D983" t="s">
        <v>1233</v>
      </c>
      <c r="E983" t="s">
        <v>1839</v>
      </c>
      <c r="F983" t="s">
        <v>1899</v>
      </c>
      <c r="G983" t="s">
        <v>1910</v>
      </c>
      <c r="H983" t="s">
        <v>1918</v>
      </c>
      <c r="I983" s="4">
        <v>343</v>
      </c>
      <c r="J983" s="3">
        <v>343</v>
      </c>
      <c r="K983" s="3">
        <f>Table1[[#This Row],[Quantity Sold]]*Table1[[#This Row],[Unit Price (INR)]]</f>
        <v>117649</v>
      </c>
      <c r="L983" t="s">
        <v>1921</v>
      </c>
    </row>
    <row r="984" spans="1:12" x14ac:dyDescent="0.35">
      <c r="A984" t="s">
        <v>993</v>
      </c>
      <c r="B984" s="5">
        <v>46490</v>
      </c>
      <c r="C984" t="s">
        <v>1215</v>
      </c>
      <c r="D984" t="s">
        <v>1225</v>
      </c>
      <c r="E984" t="s">
        <v>1427</v>
      </c>
      <c r="F984" t="s">
        <v>1904</v>
      </c>
      <c r="G984" t="s">
        <v>1907</v>
      </c>
      <c r="H984" t="s">
        <v>1916</v>
      </c>
      <c r="I984" s="4">
        <v>434</v>
      </c>
      <c r="J984" s="3">
        <v>295</v>
      </c>
      <c r="K984" s="3">
        <f>Table1[[#This Row],[Quantity Sold]]*Table1[[#This Row],[Unit Price (INR)]]</f>
        <v>128030</v>
      </c>
      <c r="L984" t="s">
        <v>1920</v>
      </c>
    </row>
    <row r="985" spans="1:12" x14ac:dyDescent="0.35">
      <c r="A985" t="s">
        <v>994</v>
      </c>
      <c r="B985" s="5">
        <v>46491</v>
      </c>
      <c r="C985" t="s">
        <v>1216</v>
      </c>
      <c r="D985" t="s">
        <v>1230</v>
      </c>
      <c r="E985" t="s">
        <v>1790</v>
      </c>
      <c r="F985" t="s">
        <v>1897</v>
      </c>
      <c r="G985" t="s">
        <v>1911</v>
      </c>
      <c r="H985" t="s">
        <v>1914</v>
      </c>
      <c r="I985" s="4">
        <v>429</v>
      </c>
      <c r="J985" s="3">
        <v>238</v>
      </c>
      <c r="K985" s="3">
        <f>Table1[[#This Row],[Quantity Sold]]*Table1[[#This Row],[Unit Price (INR)]]</f>
        <v>102102</v>
      </c>
      <c r="L985" t="s">
        <v>1921</v>
      </c>
    </row>
    <row r="986" spans="1:12" x14ac:dyDescent="0.35">
      <c r="A986" t="s">
        <v>995</v>
      </c>
      <c r="B986" s="5">
        <v>46492</v>
      </c>
      <c r="C986" t="s">
        <v>1215</v>
      </c>
      <c r="D986" t="s">
        <v>1243</v>
      </c>
      <c r="E986" t="s">
        <v>1732</v>
      </c>
      <c r="F986" t="s">
        <v>1897</v>
      </c>
      <c r="G986" t="s">
        <v>1910</v>
      </c>
      <c r="H986" t="s">
        <v>1916</v>
      </c>
      <c r="I986" s="4">
        <v>386</v>
      </c>
      <c r="J986" s="3">
        <v>93</v>
      </c>
      <c r="K986" s="3">
        <f>Table1[[#This Row],[Quantity Sold]]*Table1[[#This Row],[Unit Price (INR)]]</f>
        <v>35898</v>
      </c>
      <c r="L986" t="s">
        <v>1923</v>
      </c>
    </row>
    <row r="987" spans="1:12" x14ac:dyDescent="0.35">
      <c r="A987" t="s">
        <v>996</v>
      </c>
      <c r="B987" s="5">
        <v>46493</v>
      </c>
      <c r="C987" t="s">
        <v>1215</v>
      </c>
      <c r="D987" t="s">
        <v>1236</v>
      </c>
      <c r="E987" t="s">
        <v>1843</v>
      </c>
      <c r="F987" t="s">
        <v>1901</v>
      </c>
      <c r="G987" t="s">
        <v>1910</v>
      </c>
      <c r="H987" t="s">
        <v>1912</v>
      </c>
      <c r="I987" s="4">
        <v>288</v>
      </c>
      <c r="J987" s="3">
        <v>135</v>
      </c>
      <c r="K987" s="3">
        <f>Table1[[#This Row],[Quantity Sold]]*Table1[[#This Row],[Unit Price (INR)]]</f>
        <v>38880</v>
      </c>
      <c r="L987" t="s">
        <v>1923</v>
      </c>
    </row>
    <row r="988" spans="1:12" x14ac:dyDescent="0.35">
      <c r="A988" t="s">
        <v>997</v>
      </c>
      <c r="B988" s="5">
        <v>46494</v>
      </c>
      <c r="C988" t="s">
        <v>1215</v>
      </c>
      <c r="D988" t="s">
        <v>1236</v>
      </c>
      <c r="E988" t="s">
        <v>1784</v>
      </c>
      <c r="F988" t="s">
        <v>1901</v>
      </c>
      <c r="G988" t="s">
        <v>1907</v>
      </c>
      <c r="H988" t="s">
        <v>1915</v>
      </c>
      <c r="I988" s="4">
        <v>180</v>
      </c>
      <c r="J988" s="3">
        <v>93</v>
      </c>
      <c r="K988" s="3">
        <f>Table1[[#This Row],[Quantity Sold]]*Table1[[#This Row],[Unit Price (INR)]]</f>
        <v>16740</v>
      </c>
      <c r="L988" t="s">
        <v>1920</v>
      </c>
    </row>
    <row r="989" spans="1:12" x14ac:dyDescent="0.35">
      <c r="A989" t="s">
        <v>998</v>
      </c>
      <c r="B989" s="5">
        <v>46495</v>
      </c>
      <c r="C989" t="s">
        <v>1216</v>
      </c>
      <c r="D989" t="s">
        <v>1230</v>
      </c>
      <c r="E989" t="s">
        <v>1799</v>
      </c>
      <c r="F989" t="s">
        <v>1898</v>
      </c>
      <c r="G989" t="s">
        <v>1908</v>
      </c>
      <c r="H989" t="s">
        <v>1919</v>
      </c>
      <c r="I989" s="4">
        <v>143</v>
      </c>
      <c r="J989" s="3">
        <v>379</v>
      </c>
      <c r="K989" s="3">
        <f>Table1[[#This Row],[Quantity Sold]]*Table1[[#This Row],[Unit Price (INR)]]</f>
        <v>54197</v>
      </c>
      <c r="L989" t="s">
        <v>1923</v>
      </c>
    </row>
    <row r="990" spans="1:12" x14ac:dyDescent="0.35">
      <c r="A990" t="s">
        <v>999</v>
      </c>
      <c r="B990" s="5">
        <v>46496</v>
      </c>
      <c r="C990" t="s">
        <v>1211</v>
      </c>
      <c r="D990" t="s">
        <v>1221</v>
      </c>
      <c r="E990" t="s">
        <v>1682</v>
      </c>
      <c r="F990" t="s">
        <v>1905</v>
      </c>
      <c r="G990" t="s">
        <v>1909</v>
      </c>
      <c r="H990" t="s">
        <v>1917</v>
      </c>
      <c r="I990" s="4">
        <v>462</v>
      </c>
      <c r="J990" s="3">
        <v>424</v>
      </c>
      <c r="K990" s="3">
        <f>Table1[[#This Row],[Quantity Sold]]*Table1[[#This Row],[Unit Price (INR)]]</f>
        <v>195888</v>
      </c>
      <c r="L990" t="s">
        <v>1923</v>
      </c>
    </row>
    <row r="991" spans="1:12" x14ac:dyDescent="0.35">
      <c r="A991" t="s">
        <v>1000</v>
      </c>
      <c r="B991" s="5">
        <v>46497</v>
      </c>
      <c r="C991" t="s">
        <v>1214</v>
      </c>
      <c r="D991" t="s">
        <v>1222</v>
      </c>
      <c r="E991" t="s">
        <v>1844</v>
      </c>
      <c r="F991" t="s">
        <v>1904</v>
      </c>
      <c r="G991" t="s">
        <v>1908</v>
      </c>
      <c r="H991" t="s">
        <v>1912</v>
      </c>
      <c r="I991" s="4">
        <v>436</v>
      </c>
      <c r="J991" s="3">
        <v>495</v>
      </c>
      <c r="K991" s="3">
        <f>Table1[[#This Row],[Quantity Sold]]*Table1[[#This Row],[Unit Price (INR)]]</f>
        <v>215820</v>
      </c>
      <c r="L991" t="s">
        <v>1922</v>
      </c>
    </row>
    <row r="992" spans="1:12" x14ac:dyDescent="0.35">
      <c r="A992" t="s">
        <v>1001</v>
      </c>
      <c r="B992" s="5">
        <v>46498</v>
      </c>
      <c r="C992" t="s">
        <v>1214</v>
      </c>
      <c r="D992" t="s">
        <v>1226</v>
      </c>
      <c r="E992" t="s">
        <v>1845</v>
      </c>
      <c r="F992" t="s">
        <v>1899</v>
      </c>
      <c r="G992" t="s">
        <v>1907</v>
      </c>
      <c r="H992" t="s">
        <v>1917</v>
      </c>
      <c r="I992" s="4">
        <v>34</v>
      </c>
      <c r="J992" s="3">
        <v>427</v>
      </c>
      <c r="K992" s="3">
        <f>Table1[[#This Row],[Quantity Sold]]*Table1[[#This Row],[Unit Price (INR)]]</f>
        <v>14518</v>
      </c>
      <c r="L992" t="s">
        <v>1920</v>
      </c>
    </row>
    <row r="993" spans="1:12" x14ac:dyDescent="0.35">
      <c r="A993" t="s">
        <v>1002</v>
      </c>
      <c r="B993" s="5">
        <v>46499</v>
      </c>
      <c r="C993" t="s">
        <v>1211</v>
      </c>
      <c r="D993" t="s">
        <v>1221</v>
      </c>
      <c r="E993" t="s">
        <v>1846</v>
      </c>
      <c r="F993" t="s">
        <v>1902</v>
      </c>
      <c r="G993" t="s">
        <v>1909</v>
      </c>
      <c r="H993" t="s">
        <v>1918</v>
      </c>
      <c r="I993" s="4">
        <v>27</v>
      </c>
      <c r="J993" s="3">
        <v>439</v>
      </c>
      <c r="K993" s="3">
        <f>Table1[[#This Row],[Quantity Sold]]*Table1[[#This Row],[Unit Price (INR)]]</f>
        <v>11853</v>
      </c>
      <c r="L993" t="s">
        <v>1922</v>
      </c>
    </row>
    <row r="994" spans="1:12" x14ac:dyDescent="0.35">
      <c r="A994" t="s">
        <v>1003</v>
      </c>
      <c r="B994" s="5">
        <v>46500</v>
      </c>
      <c r="C994" t="s">
        <v>1215</v>
      </c>
      <c r="D994" t="s">
        <v>1243</v>
      </c>
      <c r="E994" t="s">
        <v>1847</v>
      </c>
      <c r="F994" t="s">
        <v>1899</v>
      </c>
      <c r="G994" t="s">
        <v>1908</v>
      </c>
      <c r="H994" t="s">
        <v>1917</v>
      </c>
      <c r="I994" s="4">
        <v>199</v>
      </c>
      <c r="J994" s="3">
        <v>194</v>
      </c>
      <c r="K994" s="3">
        <f>Table1[[#This Row],[Quantity Sold]]*Table1[[#This Row],[Unit Price (INR)]]</f>
        <v>38606</v>
      </c>
      <c r="L994" t="s">
        <v>1922</v>
      </c>
    </row>
    <row r="995" spans="1:12" x14ac:dyDescent="0.35">
      <c r="A995" t="s">
        <v>1004</v>
      </c>
      <c r="B995" s="5">
        <v>46501</v>
      </c>
      <c r="C995" t="s">
        <v>1212</v>
      </c>
      <c r="D995" t="s">
        <v>1233</v>
      </c>
      <c r="E995" t="s">
        <v>1848</v>
      </c>
      <c r="F995" t="s">
        <v>1898</v>
      </c>
      <c r="G995" t="s">
        <v>1909</v>
      </c>
      <c r="H995" t="s">
        <v>1917</v>
      </c>
      <c r="I995" s="4">
        <v>150</v>
      </c>
      <c r="J995" s="3">
        <v>100</v>
      </c>
      <c r="K995" s="3">
        <f>Table1[[#This Row],[Quantity Sold]]*Table1[[#This Row],[Unit Price (INR)]]</f>
        <v>15000</v>
      </c>
      <c r="L995" t="s">
        <v>1921</v>
      </c>
    </row>
    <row r="996" spans="1:12" x14ac:dyDescent="0.35">
      <c r="A996" t="s">
        <v>1005</v>
      </c>
      <c r="B996" s="5">
        <v>46502</v>
      </c>
      <c r="C996" t="s">
        <v>1217</v>
      </c>
      <c r="D996" t="s">
        <v>1246</v>
      </c>
      <c r="E996" t="s">
        <v>1782</v>
      </c>
      <c r="F996" t="s">
        <v>1906</v>
      </c>
      <c r="G996" t="s">
        <v>1910</v>
      </c>
      <c r="H996" t="s">
        <v>1915</v>
      </c>
      <c r="I996" s="4">
        <v>52</v>
      </c>
      <c r="J996" s="3">
        <v>291</v>
      </c>
      <c r="K996" s="3">
        <f>Table1[[#This Row],[Quantity Sold]]*Table1[[#This Row],[Unit Price (INR)]]</f>
        <v>15132</v>
      </c>
      <c r="L996" t="s">
        <v>1920</v>
      </c>
    </row>
    <row r="997" spans="1:12" x14ac:dyDescent="0.35">
      <c r="A997" t="s">
        <v>1006</v>
      </c>
      <c r="B997" s="5">
        <v>46503</v>
      </c>
      <c r="C997" t="s">
        <v>1216</v>
      </c>
      <c r="D997" t="s">
        <v>1239</v>
      </c>
      <c r="E997" t="s">
        <v>1685</v>
      </c>
      <c r="F997" t="s">
        <v>1905</v>
      </c>
      <c r="G997" t="s">
        <v>1908</v>
      </c>
      <c r="H997" t="s">
        <v>1917</v>
      </c>
      <c r="I997" s="4">
        <v>343</v>
      </c>
      <c r="J997" s="3">
        <v>343</v>
      </c>
      <c r="K997" s="3">
        <f>Table1[[#This Row],[Quantity Sold]]*Table1[[#This Row],[Unit Price (INR)]]</f>
        <v>117649</v>
      </c>
      <c r="L997" t="s">
        <v>1921</v>
      </c>
    </row>
    <row r="998" spans="1:12" x14ac:dyDescent="0.35">
      <c r="A998" t="s">
        <v>1007</v>
      </c>
      <c r="B998" s="5">
        <v>46504</v>
      </c>
      <c r="C998" t="s">
        <v>1217</v>
      </c>
      <c r="D998" t="s">
        <v>1238</v>
      </c>
      <c r="E998" t="s">
        <v>1532</v>
      </c>
      <c r="F998" t="s">
        <v>1902</v>
      </c>
      <c r="G998" t="s">
        <v>1909</v>
      </c>
      <c r="H998" t="s">
        <v>1912</v>
      </c>
      <c r="I998" s="4">
        <v>293</v>
      </c>
      <c r="J998" s="3">
        <v>457</v>
      </c>
      <c r="K998" s="3">
        <f>Table1[[#This Row],[Quantity Sold]]*Table1[[#This Row],[Unit Price (INR)]]</f>
        <v>133901</v>
      </c>
      <c r="L998" t="s">
        <v>1921</v>
      </c>
    </row>
    <row r="999" spans="1:12" x14ac:dyDescent="0.35">
      <c r="A999" t="s">
        <v>1008</v>
      </c>
      <c r="B999" s="5">
        <v>46505</v>
      </c>
      <c r="C999" t="s">
        <v>1211</v>
      </c>
      <c r="D999" t="s">
        <v>1218</v>
      </c>
      <c r="E999" t="s">
        <v>1497</v>
      </c>
      <c r="F999" t="s">
        <v>1903</v>
      </c>
      <c r="G999" t="s">
        <v>1909</v>
      </c>
      <c r="H999" t="s">
        <v>1919</v>
      </c>
      <c r="I999" s="4">
        <v>155</v>
      </c>
      <c r="J999" s="3">
        <v>100</v>
      </c>
      <c r="K999" s="3">
        <f>Table1[[#This Row],[Quantity Sold]]*Table1[[#This Row],[Unit Price (INR)]]</f>
        <v>15500</v>
      </c>
      <c r="L999" t="s">
        <v>1922</v>
      </c>
    </row>
    <row r="1000" spans="1:12" x14ac:dyDescent="0.35">
      <c r="A1000" t="s">
        <v>1009</v>
      </c>
      <c r="B1000" s="5">
        <v>46506</v>
      </c>
      <c r="C1000" t="s">
        <v>1212</v>
      </c>
      <c r="D1000" t="s">
        <v>1229</v>
      </c>
      <c r="E1000" t="s">
        <v>1695</v>
      </c>
      <c r="F1000" t="s">
        <v>1906</v>
      </c>
      <c r="G1000" t="s">
        <v>1909</v>
      </c>
      <c r="H1000" t="s">
        <v>1917</v>
      </c>
      <c r="I1000" s="4">
        <v>324</v>
      </c>
      <c r="J1000" s="3">
        <v>315</v>
      </c>
      <c r="K1000" s="3">
        <f>Table1[[#This Row],[Quantity Sold]]*Table1[[#This Row],[Unit Price (INR)]]</f>
        <v>102060</v>
      </c>
      <c r="L1000" t="s">
        <v>1923</v>
      </c>
    </row>
    <row r="1001" spans="1:12" x14ac:dyDescent="0.35">
      <c r="A1001" t="s">
        <v>1010</v>
      </c>
      <c r="B1001" s="5">
        <v>46507</v>
      </c>
      <c r="C1001" t="s">
        <v>1216</v>
      </c>
      <c r="D1001" t="s">
        <v>1232</v>
      </c>
      <c r="E1001" t="s">
        <v>1479</v>
      </c>
      <c r="F1001" t="s">
        <v>1901</v>
      </c>
      <c r="G1001" t="s">
        <v>1908</v>
      </c>
      <c r="H1001" t="s">
        <v>1913</v>
      </c>
      <c r="I1001" s="4">
        <v>453</v>
      </c>
      <c r="J1001" s="3">
        <v>169</v>
      </c>
      <c r="K1001" s="3">
        <f>Table1[[#This Row],[Quantity Sold]]*Table1[[#This Row],[Unit Price (INR)]]</f>
        <v>76557</v>
      </c>
      <c r="L1001" t="s">
        <v>1920</v>
      </c>
    </row>
    <row r="1002" spans="1:12" x14ac:dyDescent="0.35">
      <c r="A1002" t="s">
        <v>1011</v>
      </c>
      <c r="B1002" s="5">
        <v>46508</v>
      </c>
      <c r="C1002" t="s">
        <v>1211</v>
      </c>
      <c r="D1002" t="s">
        <v>1218</v>
      </c>
      <c r="E1002" t="s">
        <v>1566</v>
      </c>
      <c r="F1002" t="s">
        <v>1897</v>
      </c>
      <c r="G1002" t="s">
        <v>1911</v>
      </c>
      <c r="H1002" t="s">
        <v>1917</v>
      </c>
      <c r="I1002" s="4">
        <v>328</v>
      </c>
      <c r="J1002" s="3">
        <v>249</v>
      </c>
      <c r="K1002" s="3">
        <f>Table1[[#This Row],[Quantity Sold]]*Table1[[#This Row],[Unit Price (INR)]]</f>
        <v>81672</v>
      </c>
      <c r="L1002" t="s">
        <v>1923</v>
      </c>
    </row>
    <row r="1003" spans="1:12" x14ac:dyDescent="0.35">
      <c r="A1003" t="s">
        <v>1012</v>
      </c>
      <c r="B1003" s="5">
        <v>46509</v>
      </c>
      <c r="C1003" t="s">
        <v>1215</v>
      </c>
      <c r="D1003" t="s">
        <v>1236</v>
      </c>
      <c r="E1003" t="s">
        <v>1740</v>
      </c>
      <c r="F1003" t="s">
        <v>1903</v>
      </c>
      <c r="G1003" t="s">
        <v>1908</v>
      </c>
      <c r="H1003" t="s">
        <v>1917</v>
      </c>
      <c r="I1003" s="4">
        <v>450</v>
      </c>
      <c r="J1003" s="3">
        <v>454</v>
      </c>
      <c r="K1003" s="3">
        <f>Table1[[#This Row],[Quantity Sold]]*Table1[[#This Row],[Unit Price (INR)]]</f>
        <v>204300</v>
      </c>
      <c r="L1003" t="s">
        <v>1922</v>
      </c>
    </row>
    <row r="1004" spans="1:12" x14ac:dyDescent="0.35">
      <c r="A1004" t="s">
        <v>1013</v>
      </c>
      <c r="B1004" s="5">
        <v>46510</v>
      </c>
      <c r="C1004" t="s">
        <v>1214</v>
      </c>
      <c r="D1004" t="s">
        <v>1222</v>
      </c>
      <c r="E1004" t="s">
        <v>1394</v>
      </c>
      <c r="F1004" t="s">
        <v>1899</v>
      </c>
      <c r="G1004" t="s">
        <v>1907</v>
      </c>
      <c r="H1004" t="s">
        <v>1916</v>
      </c>
      <c r="I1004" s="4">
        <v>101</v>
      </c>
      <c r="J1004" s="3">
        <v>297</v>
      </c>
      <c r="K1004" s="3">
        <f>Table1[[#This Row],[Quantity Sold]]*Table1[[#This Row],[Unit Price (INR)]]</f>
        <v>29997</v>
      </c>
      <c r="L1004" t="s">
        <v>1922</v>
      </c>
    </row>
    <row r="1005" spans="1:12" x14ac:dyDescent="0.35">
      <c r="A1005" t="s">
        <v>1014</v>
      </c>
      <c r="B1005" s="5">
        <v>46511</v>
      </c>
      <c r="C1005" t="s">
        <v>1217</v>
      </c>
      <c r="D1005" t="s">
        <v>1237</v>
      </c>
      <c r="E1005" t="s">
        <v>1849</v>
      </c>
      <c r="F1005" t="s">
        <v>1899</v>
      </c>
      <c r="G1005" t="s">
        <v>1908</v>
      </c>
      <c r="H1005" t="s">
        <v>1919</v>
      </c>
      <c r="I1005" s="4">
        <v>188</v>
      </c>
      <c r="J1005" s="3">
        <v>119</v>
      </c>
      <c r="K1005" s="3">
        <f>Table1[[#This Row],[Quantity Sold]]*Table1[[#This Row],[Unit Price (INR)]]</f>
        <v>22372</v>
      </c>
      <c r="L1005" t="s">
        <v>1922</v>
      </c>
    </row>
    <row r="1006" spans="1:12" x14ac:dyDescent="0.35">
      <c r="A1006" t="s">
        <v>1015</v>
      </c>
      <c r="B1006" s="5">
        <v>46512</v>
      </c>
      <c r="C1006" t="s">
        <v>1213</v>
      </c>
      <c r="D1006" t="s">
        <v>1223</v>
      </c>
      <c r="E1006" t="s">
        <v>1564</v>
      </c>
      <c r="F1006" t="s">
        <v>1901</v>
      </c>
      <c r="G1006" t="s">
        <v>1909</v>
      </c>
      <c r="H1006" t="s">
        <v>1912</v>
      </c>
      <c r="I1006" s="4">
        <v>65</v>
      </c>
      <c r="J1006" s="3">
        <v>390</v>
      </c>
      <c r="K1006" s="3">
        <f>Table1[[#This Row],[Quantity Sold]]*Table1[[#This Row],[Unit Price (INR)]]</f>
        <v>25350</v>
      </c>
      <c r="L1006" t="s">
        <v>1922</v>
      </c>
    </row>
    <row r="1007" spans="1:12" x14ac:dyDescent="0.35">
      <c r="A1007" t="s">
        <v>1016</v>
      </c>
      <c r="B1007" s="5">
        <v>46513</v>
      </c>
      <c r="C1007" t="s">
        <v>1213</v>
      </c>
      <c r="D1007" t="s">
        <v>1234</v>
      </c>
      <c r="E1007" t="s">
        <v>1850</v>
      </c>
      <c r="F1007" t="s">
        <v>1898</v>
      </c>
      <c r="G1007" t="s">
        <v>1910</v>
      </c>
      <c r="H1007" t="s">
        <v>1918</v>
      </c>
      <c r="I1007" s="4">
        <v>164</v>
      </c>
      <c r="J1007" s="3">
        <v>106</v>
      </c>
      <c r="K1007" s="3">
        <f>Table1[[#This Row],[Quantity Sold]]*Table1[[#This Row],[Unit Price (INR)]]</f>
        <v>17384</v>
      </c>
      <c r="L1007" t="s">
        <v>1922</v>
      </c>
    </row>
    <row r="1008" spans="1:12" x14ac:dyDescent="0.35">
      <c r="A1008" t="s">
        <v>1017</v>
      </c>
      <c r="B1008" s="5">
        <v>46514</v>
      </c>
      <c r="C1008" t="s">
        <v>1212</v>
      </c>
      <c r="D1008" t="s">
        <v>1229</v>
      </c>
      <c r="E1008" t="s">
        <v>1611</v>
      </c>
      <c r="F1008" t="s">
        <v>1904</v>
      </c>
      <c r="G1008" t="s">
        <v>1908</v>
      </c>
      <c r="H1008" t="s">
        <v>1916</v>
      </c>
      <c r="I1008" s="4">
        <v>169</v>
      </c>
      <c r="J1008" s="3">
        <v>431</v>
      </c>
      <c r="K1008" s="3">
        <f>Table1[[#This Row],[Quantity Sold]]*Table1[[#This Row],[Unit Price (INR)]]</f>
        <v>72839</v>
      </c>
      <c r="L1008" t="s">
        <v>1922</v>
      </c>
    </row>
    <row r="1009" spans="1:12" x14ac:dyDescent="0.35">
      <c r="A1009" t="s">
        <v>1018</v>
      </c>
      <c r="B1009" s="5">
        <v>46515</v>
      </c>
      <c r="C1009" t="s">
        <v>1215</v>
      </c>
      <c r="D1009" t="s">
        <v>1236</v>
      </c>
      <c r="E1009" t="s">
        <v>1256</v>
      </c>
      <c r="F1009" t="s">
        <v>1903</v>
      </c>
      <c r="G1009" t="s">
        <v>1908</v>
      </c>
      <c r="H1009" t="s">
        <v>1912</v>
      </c>
      <c r="I1009" s="4">
        <v>120</v>
      </c>
      <c r="J1009" s="3">
        <v>88</v>
      </c>
      <c r="K1009" s="3">
        <f>Table1[[#This Row],[Quantity Sold]]*Table1[[#This Row],[Unit Price (INR)]]</f>
        <v>10560</v>
      </c>
      <c r="L1009" t="s">
        <v>1923</v>
      </c>
    </row>
    <row r="1010" spans="1:12" x14ac:dyDescent="0.35">
      <c r="A1010" t="s">
        <v>1019</v>
      </c>
      <c r="B1010" s="5">
        <v>46516</v>
      </c>
      <c r="C1010" t="s">
        <v>1217</v>
      </c>
      <c r="D1010" t="s">
        <v>1238</v>
      </c>
      <c r="E1010" t="s">
        <v>1610</v>
      </c>
      <c r="F1010" t="s">
        <v>1903</v>
      </c>
      <c r="G1010" t="s">
        <v>1909</v>
      </c>
      <c r="H1010" t="s">
        <v>1914</v>
      </c>
      <c r="I1010" s="4">
        <v>146</v>
      </c>
      <c r="J1010" s="3">
        <v>338</v>
      </c>
      <c r="K1010" s="3">
        <f>Table1[[#This Row],[Quantity Sold]]*Table1[[#This Row],[Unit Price (INR)]]</f>
        <v>49348</v>
      </c>
      <c r="L1010" t="s">
        <v>1921</v>
      </c>
    </row>
    <row r="1011" spans="1:12" x14ac:dyDescent="0.35">
      <c r="A1011" t="s">
        <v>1020</v>
      </c>
      <c r="B1011" s="5">
        <v>46517</v>
      </c>
      <c r="C1011" t="s">
        <v>1215</v>
      </c>
      <c r="D1011" t="s">
        <v>1243</v>
      </c>
      <c r="E1011" t="s">
        <v>1496</v>
      </c>
      <c r="F1011" t="s">
        <v>1900</v>
      </c>
      <c r="G1011" t="s">
        <v>1910</v>
      </c>
      <c r="H1011" t="s">
        <v>1919</v>
      </c>
      <c r="I1011" s="4">
        <v>241</v>
      </c>
      <c r="J1011" s="3">
        <v>492</v>
      </c>
      <c r="K1011" s="3">
        <f>Table1[[#This Row],[Quantity Sold]]*Table1[[#This Row],[Unit Price (INR)]]</f>
        <v>118572</v>
      </c>
      <c r="L1011" t="s">
        <v>1923</v>
      </c>
    </row>
    <row r="1012" spans="1:12" x14ac:dyDescent="0.35">
      <c r="A1012" t="s">
        <v>1021</v>
      </c>
      <c r="B1012" s="5">
        <v>46518</v>
      </c>
      <c r="C1012" t="s">
        <v>1217</v>
      </c>
      <c r="D1012" t="s">
        <v>1235</v>
      </c>
      <c r="E1012" t="s">
        <v>1693</v>
      </c>
      <c r="F1012" t="s">
        <v>1906</v>
      </c>
      <c r="G1012" t="s">
        <v>1910</v>
      </c>
      <c r="H1012" t="s">
        <v>1913</v>
      </c>
      <c r="I1012" s="4">
        <v>489</v>
      </c>
      <c r="J1012" s="3">
        <v>67</v>
      </c>
      <c r="K1012" s="3">
        <f>Table1[[#This Row],[Quantity Sold]]*Table1[[#This Row],[Unit Price (INR)]]</f>
        <v>32763</v>
      </c>
      <c r="L1012" t="s">
        <v>1920</v>
      </c>
    </row>
    <row r="1013" spans="1:12" x14ac:dyDescent="0.35">
      <c r="A1013" t="s">
        <v>1022</v>
      </c>
      <c r="B1013" s="5">
        <v>46519</v>
      </c>
      <c r="C1013" t="s">
        <v>1212</v>
      </c>
      <c r="D1013" t="s">
        <v>1233</v>
      </c>
      <c r="E1013" t="s">
        <v>1395</v>
      </c>
      <c r="F1013" t="s">
        <v>1905</v>
      </c>
      <c r="G1013" t="s">
        <v>1907</v>
      </c>
      <c r="H1013" t="s">
        <v>1919</v>
      </c>
      <c r="I1013" s="4">
        <v>477</v>
      </c>
      <c r="J1013" s="3">
        <v>489</v>
      </c>
      <c r="K1013" s="3">
        <f>Table1[[#This Row],[Quantity Sold]]*Table1[[#This Row],[Unit Price (INR)]]</f>
        <v>233253</v>
      </c>
      <c r="L1013" t="s">
        <v>1923</v>
      </c>
    </row>
    <row r="1014" spans="1:12" x14ac:dyDescent="0.35">
      <c r="A1014" t="s">
        <v>1023</v>
      </c>
      <c r="B1014" s="5">
        <v>46520</v>
      </c>
      <c r="C1014" t="s">
        <v>1212</v>
      </c>
      <c r="D1014" t="s">
        <v>1219</v>
      </c>
      <c r="E1014" t="s">
        <v>1259</v>
      </c>
      <c r="F1014" t="s">
        <v>1906</v>
      </c>
      <c r="G1014" t="s">
        <v>1908</v>
      </c>
      <c r="H1014" t="s">
        <v>1914</v>
      </c>
      <c r="I1014" s="4">
        <v>229</v>
      </c>
      <c r="J1014" s="3">
        <v>269</v>
      </c>
      <c r="K1014" s="3">
        <f>Table1[[#This Row],[Quantity Sold]]*Table1[[#This Row],[Unit Price (INR)]]</f>
        <v>61601</v>
      </c>
      <c r="L1014" t="s">
        <v>1922</v>
      </c>
    </row>
    <row r="1015" spans="1:12" x14ac:dyDescent="0.35">
      <c r="A1015" t="s">
        <v>1024</v>
      </c>
      <c r="B1015" s="5">
        <v>46521</v>
      </c>
      <c r="C1015" t="s">
        <v>1213</v>
      </c>
      <c r="D1015" t="s">
        <v>1234</v>
      </c>
      <c r="E1015" t="s">
        <v>1362</v>
      </c>
      <c r="F1015" t="s">
        <v>1904</v>
      </c>
      <c r="G1015" t="s">
        <v>1910</v>
      </c>
      <c r="H1015" t="s">
        <v>1914</v>
      </c>
      <c r="I1015" s="4">
        <v>490</v>
      </c>
      <c r="J1015" s="3">
        <v>362</v>
      </c>
      <c r="K1015" s="3">
        <f>Table1[[#This Row],[Quantity Sold]]*Table1[[#This Row],[Unit Price (INR)]]</f>
        <v>177380</v>
      </c>
      <c r="L1015" t="s">
        <v>1923</v>
      </c>
    </row>
    <row r="1016" spans="1:12" x14ac:dyDescent="0.35">
      <c r="A1016" t="s">
        <v>1025</v>
      </c>
      <c r="B1016" s="5">
        <v>46522</v>
      </c>
      <c r="C1016" t="s">
        <v>1215</v>
      </c>
      <c r="D1016" t="s">
        <v>1243</v>
      </c>
      <c r="E1016" t="s">
        <v>1400</v>
      </c>
      <c r="F1016" t="s">
        <v>1899</v>
      </c>
      <c r="G1016" t="s">
        <v>1910</v>
      </c>
      <c r="H1016" t="s">
        <v>1914</v>
      </c>
      <c r="I1016" s="4">
        <v>77</v>
      </c>
      <c r="J1016" s="3">
        <v>293</v>
      </c>
      <c r="K1016" s="3">
        <f>Table1[[#This Row],[Quantity Sold]]*Table1[[#This Row],[Unit Price (INR)]]</f>
        <v>22561</v>
      </c>
      <c r="L1016" t="s">
        <v>1921</v>
      </c>
    </row>
    <row r="1017" spans="1:12" x14ac:dyDescent="0.35">
      <c r="A1017" t="s">
        <v>1026</v>
      </c>
      <c r="B1017" s="5">
        <v>46523</v>
      </c>
      <c r="C1017" t="s">
        <v>1216</v>
      </c>
      <c r="D1017" t="s">
        <v>1241</v>
      </c>
      <c r="E1017" t="s">
        <v>1539</v>
      </c>
      <c r="F1017" t="s">
        <v>1899</v>
      </c>
      <c r="G1017" t="s">
        <v>1911</v>
      </c>
      <c r="H1017" t="s">
        <v>1915</v>
      </c>
      <c r="I1017" s="4">
        <v>311</v>
      </c>
      <c r="J1017" s="3">
        <v>401</v>
      </c>
      <c r="K1017" s="3">
        <f>Table1[[#This Row],[Quantity Sold]]*Table1[[#This Row],[Unit Price (INR)]]</f>
        <v>124711</v>
      </c>
      <c r="L1017" t="s">
        <v>1920</v>
      </c>
    </row>
    <row r="1018" spans="1:12" x14ac:dyDescent="0.35">
      <c r="A1018" t="s">
        <v>1027</v>
      </c>
      <c r="B1018" s="5">
        <v>46524</v>
      </c>
      <c r="C1018" t="s">
        <v>1213</v>
      </c>
      <c r="D1018" t="s">
        <v>1220</v>
      </c>
      <c r="E1018" t="s">
        <v>1520</v>
      </c>
      <c r="F1018" t="s">
        <v>1899</v>
      </c>
      <c r="G1018" t="s">
        <v>1911</v>
      </c>
      <c r="H1018" t="s">
        <v>1918</v>
      </c>
      <c r="I1018" s="4">
        <v>258</v>
      </c>
      <c r="J1018" s="3">
        <v>353</v>
      </c>
      <c r="K1018" s="3">
        <f>Table1[[#This Row],[Quantity Sold]]*Table1[[#This Row],[Unit Price (INR)]]</f>
        <v>91074</v>
      </c>
      <c r="L1018" t="s">
        <v>1923</v>
      </c>
    </row>
    <row r="1019" spans="1:12" x14ac:dyDescent="0.35">
      <c r="A1019" t="s">
        <v>1028</v>
      </c>
      <c r="B1019" s="5">
        <v>46525</v>
      </c>
      <c r="C1019" t="s">
        <v>1215</v>
      </c>
      <c r="D1019" t="s">
        <v>1243</v>
      </c>
      <c r="E1019" t="s">
        <v>1793</v>
      </c>
      <c r="F1019" t="s">
        <v>1900</v>
      </c>
      <c r="G1019" t="s">
        <v>1910</v>
      </c>
      <c r="H1019" t="s">
        <v>1917</v>
      </c>
      <c r="I1019" s="4">
        <v>491</v>
      </c>
      <c r="J1019" s="3">
        <v>347</v>
      </c>
      <c r="K1019" s="3">
        <f>Table1[[#This Row],[Quantity Sold]]*Table1[[#This Row],[Unit Price (INR)]]</f>
        <v>170377</v>
      </c>
      <c r="L1019" t="s">
        <v>1921</v>
      </c>
    </row>
    <row r="1020" spans="1:12" x14ac:dyDescent="0.35">
      <c r="A1020" t="s">
        <v>1029</v>
      </c>
      <c r="B1020" s="5">
        <v>46526</v>
      </c>
      <c r="C1020" t="s">
        <v>1213</v>
      </c>
      <c r="D1020" t="s">
        <v>1223</v>
      </c>
      <c r="E1020" t="s">
        <v>1851</v>
      </c>
      <c r="F1020" t="s">
        <v>1899</v>
      </c>
      <c r="G1020" t="s">
        <v>1907</v>
      </c>
      <c r="H1020" t="s">
        <v>1919</v>
      </c>
      <c r="I1020" s="4">
        <v>332</v>
      </c>
      <c r="J1020" s="3">
        <v>332</v>
      </c>
      <c r="K1020" s="3">
        <f>Table1[[#This Row],[Quantity Sold]]*Table1[[#This Row],[Unit Price (INR)]]</f>
        <v>110224</v>
      </c>
      <c r="L1020" t="s">
        <v>1923</v>
      </c>
    </row>
    <row r="1021" spans="1:12" x14ac:dyDescent="0.35">
      <c r="A1021" t="s">
        <v>1030</v>
      </c>
      <c r="B1021" s="5">
        <v>46527</v>
      </c>
      <c r="C1021" t="s">
        <v>1216</v>
      </c>
      <c r="D1021" t="s">
        <v>1230</v>
      </c>
      <c r="E1021" t="s">
        <v>1852</v>
      </c>
      <c r="F1021" t="s">
        <v>1904</v>
      </c>
      <c r="G1021" t="s">
        <v>1910</v>
      </c>
      <c r="H1021" t="s">
        <v>1912</v>
      </c>
      <c r="I1021" s="4">
        <v>419</v>
      </c>
      <c r="J1021" s="3">
        <v>123</v>
      </c>
      <c r="K1021" s="3">
        <f>Table1[[#This Row],[Quantity Sold]]*Table1[[#This Row],[Unit Price (INR)]]</f>
        <v>51537</v>
      </c>
      <c r="L1021" t="s">
        <v>1920</v>
      </c>
    </row>
    <row r="1022" spans="1:12" x14ac:dyDescent="0.35">
      <c r="A1022" t="s">
        <v>1031</v>
      </c>
      <c r="B1022" s="5">
        <v>46528</v>
      </c>
      <c r="C1022" t="s">
        <v>1214</v>
      </c>
      <c r="D1022" t="s">
        <v>1227</v>
      </c>
      <c r="E1022" t="s">
        <v>1853</v>
      </c>
      <c r="F1022" t="s">
        <v>1901</v>
      </c>
      <c r="G1022" t="s">
        <v>1909</v>
      </c>
      <c r="H1022" t="s">
        <v>1915</v>
      </c>
      <c r="I1022" s="4">
        <v>401</v>
      </c>
      <c r="J1022" s="3">
        <v>159</v>
      </c>
      <c r="K1022" s="3">
        <f>Table1[[#This Row],[Quantity Sold]]*Table1[[#This Row],[Unit Price (INR)]]</f>
        <v>63759</v>
      </c>
      <c r="L1022" t="s">
        <v>1923</v>
      </c>
    </row>
    <row r="1023" spans="1:12" x14ac:dyDescent="0.35">
      <c r="A1023" t="s">
        <v>1032</v>
      </c>
      <c r="B1023" s="5">
        <v>46529</v>
      </c>
      <c r="C1023" t="s">
        <v>1214</v>
      </c>
      <c r="D1023" t="s">
        <v>1227</v>
      </c>
      <c r="E1023" t="s">
        <v>1854</v>
      </c>
      <c r="F1023" t="s">
        <v>1905</v>
      </c>
      <c r="G1023" t="s">
        <v>1908</v>
      </c>
      <c r="H1023" t="s">
        <v>1912</v>
      </c>
      <c r="I1023" s="4">
        <v>15</v>
      </c>
      <c r="J1023" s="3">
        <v>229</v>
      </c>
      <c r="K1023" s="3">
        <f>Table1[[#This Row],[Quantity Sold]]*Table1[[#This Row],[Unit Price (INR)]]</f>
        <v>3435</v>
      </c>
      <c r="L1023" t="s">
        <v>1922</v>
      </c>
    </row>
    <row r="1024" spans="1:12" x14ac:dyDescent="0.35">
      <c r="A1024" t="s">
        <v>1033</v>
      </c>
      <c r="B1024" s="5">
        <v>46530</v>
      </c>
      <c r="C1024" t="s">
        <v>1214</v>
      </c>
      <c r="D1024" t="s">
        <v>1222</v>
      </c>
      <c r="E1024" t="s">
        <v>1609</v>
      </c>
      <c r="F1024" t="s">
        <v>1904</v>
      </c>
      <c r="G1024" t="s">
        <v>1907</v>
      </c>
      <c r="H1024" t="s">
        <v>1917</v>
      </c>
      <c r="I1024" s="4">
        <v>473</v>
      </c>
      <c r="J1024" s="3">
        <v>475</v>
      </c>
      <c r="K1024" s="3">
        <f>Table1[[#This Row],[Quantity Sold]]*Table1[[#This Row],[Unit Price (INR)]]</f>
        <v>224675</v>
      </c>
      <c r="L1024" t="s">
        <v>1923</v>
      </c>
    </row>
    <row r="1025" spans="1:12" x14ac:dyDescent="0.35">
      <c r="A1025" t="s">
        <v>1034</v>
      </c>
      <c r="B1025" s="5">
        <v>46531</v>
      </c>
      <c r="C1025" t="s">
        <v>1214</v>
      </c>
      <c r="D1025" t="s">
        <v>1227</v>
      </c>
      <c r="E1025" t="s">
        <v>1700</v>
      </c>
      <c r="F1025" t="s">
        <v>1905</v>
      </c>
      <c r="G1025" t="s">
        <v>1909</v>
      </c>
      <c r="H1025" t="s">
        <v>1917</v>
      </c>
      <c r="I1025" s="4">
        <v>289</v>
      </c>
      <c r="J1025" s="3">
        <v>81</v>
      </c>
      <c r="K1025" s="3">
        <f>Table1[[#This Row],[Quantity Sold]]*Table1[[#This Row],[Unit Price (INR)]]</f>
        <v>23409</v>
      </c>
      <c r="L1025" t="s">
        <v>1921</v>
      </c>
    </row>
    <row r="1026" spans="1:12" x14ac:dyDescent="0.35">
      <c r="A1026" t="s">
        <v>1035</v>
      </c>
      <c r="B1026" s="5">
        <v>46532</v>
      </c>
      <c r="C1026" t="s">
        <v>1211</v>
      </c>
      <c r="D1026" t="s">
        <v>1218</v>
      </c>
      <c r="E1026" t="s">
        <v>1759</v>
      </c>
      <c r="F1026" t="s">
        <v>1904</v>
      </c>
      <c r="G1026" t="s">
        <v>1907</v>
      </c>
      <c r="H1026" t="s">
        <v>1913</v>
      </c>
      <c r="I1026" s="4">
        <v>441</v>
      </c>
      <c r="J1026" s="3">
        <v>283</v>
      </c>
      <c r="K1026" s="3">
        <f>Table1[[#This Row],[Quantity Sold]]*Table1[[#This Row],[Unit Price (INR)]]</f>
        <v>124803</v>
      </c>
      <c r="L1026" t="s">
        <v>1923</v>
      </c>
    </row>
    <row r="1027" spans="1:12" x14ac:dyDescent="0.35">
      <c r="A1027" t="s">
        <v>1036</v>
      </c>
      <c r="B1027" s="5">
        <v>46533</v>
      </c>
      <c r="C1027" t="s">
        <v>1217</v>
      </c>
      <c r="D1027" t="s">
        <v>1238</v>
      </c>
      <c r="E1027" t="s">
        <v>1320</v>
      </c>
      <c r="F1027" t="s">
        <v>1899</v>
      </c>
      <c r="G1027" t="s">
        <v>1909</v>
      </c>
      <c r="H1027" t="s">
        <v>1914</v>
      </c>
      <c r="I1027" s="4">
        <v>496</v>
      </c>
      <c r="J1027" s="3">
        <v>331</v>
      </c>
      <c r="K1027" s="3">
        <f>Table1[[#This Row],[Quantity Sold]]*Table1[[#This Row],[Unit Price (INR)]]</f>
        <v>164176</v>
      </c>
      <c r="L1027" t="s">
        <v>1921</v>
      </c>
    </row>
    <row r="1028" spans="1:12" x14ac:dyDescent="0.35">
      <c r="A1028" t="s">
        <v>1037</v>
      </c>
      <c r="B1028" s="5">
        <v>46534</v>
      </c>
      <c r="C1028" t="s">
        <v>1211</v>
      </c>
      <c r="D1028" t="s">
        <v>1218</v>
      </c>
      <c r="E1028" t="s">
        <v>1855</v>
      </c>
      <c r="F1028" t="s">
        <v>1901</v>
      </c>
      <c r="G1028" t="s">
        <v>1908</v>
      </c>
      <c r="H1028" t="s">
        <v>1918</v>
      </c>
      <c r="I1028" s="4">
        <v>103</v>
      </c>
      <c r="J1028" s="3">
        <v>74</v>
      </c>
      <c r="K1028" s="3">
        <f>Table1[[#This Row],[Quantity Sold]]*Table1[[#This Row],[Unit Price (INR)]]</f>
        <v>7622</v>
      </c>
      <c r="L1028" t="s">
        <v>1920</v>
      </c>
    </row>
    <row r="1029" spans="1:12" x14ac:dyDescent="0.35">
      <c r="A1029" t="s">
        <v>1038</v>
      </c>
      <c r="B1029" s="5">
        <v>46535</v>
      </c>
      <c r="C1029" t="s">
        <v>1211</v>
      </c>
      <c r="D1029" t="s">
        <v>1224</v>
      </c>
      <c r="E1029" t="s">
        <v>1794</v>
      </c>
      <c r="F1029" t="s">
        <v>1903</v>
      </c>
      <c r="G1029" t="s">
        <v>1908</v>
      </c>
      <c r="H1029" t="s">
        <v>1913</v>
      </c>
      <c r="I1029" s="4">
        <v>438</v>
      </c>
      <c r="J1029" s="3">
        <v>380</v>
      </c>
      <c r="K1029" s="3">
        <f>Table1[[#This Row],[Quantity Sold]]*Table1[[#This Row],[Unit Price (INR)]]</f>
        <v>166440</v>
      </c>
      <c r="L1029" t="s">
        <v>1923</v>
      </c>
    </row>
    <row r="1030" spans="1:12" x14ac:dyDescent="0.35">
      <c r="A1030" t="s">
        <v>1039</v>
      </c>
      <c r="B1030" s="5">
        <v>46536</v>
      </c>
      <c r="C1030" t="s">
        <v>1211</v>
      </c>
      <c r="D1030" t="s">
        <v>1224</v>
      </c>
      <c r="E1030" t="s">
        <v>1856</v>
      </c>
      <c r="F1030" t="s">
        <v>1906</v>
      </c>
      <c r="G1030" t="s">
        <v>1911</v>
      </c>
      <c r="H1030" t="s">
        <v>1916</v>
      </c>
      <c r="I1030" s="4">
        <v>278</v>
      </c>
      <c r="J1030" s="3">
        <v>328</v>
      </c>
      <c r="K1030" s="3">
        <f>Table1[[#This Row],[Quantity Sold]]*Table1[[#This Row],[Unit Price (INR)]]</f>
        <v>91184</v>
      </c>
      <c r="L1030" t="s">
        <v>1920</v>
      </c>
    </row>
    <row r="1031" spans="1:12" x14ac:dyDescent="0.35">
      <c r="A1031" t="s">
        <v>1040</v>
      </c>
      <c r="B1031" s="5">
        <v>46537</v>
      </c>
      <c r="C1031" t="s">
        <v>1214</v>
      </c>
      <c r="D1031" t="s">
        <v>1228</v>
      </c>
      <c r="E1031" t="s">
        <v>1644</v>
      </c>
      <c r="F1031" t="s">
        <v>1897</v>
      </c>
      <c r="G1031" t="s">
        <v>1909</v>
      </c>
      <c r="H1031" t="s">
        <v>1915</v>
      </c>
      <c r="I1031" s="4">
        <v>206</v>
      </c>
      <c r="J1031" s="3">
        <v>275</v>
      </c>
      <c r="K1031" s="3">
        <f>Table1[[#This Row],[Quantity Sold]]*Table1[[#This Row],[Unit Price (INR)]]</f>
        <v>56650</v>
      </c>
      <c r="L1031" t="s">
        <v>1920</v>
      </c>
    </row>
    <row r="1032" spans="1:12" x14ac:dyDescent="0.35">
      <c r="A1032" t="s">
        <v>1041</v>
      </c>
      <c r="B1032" s="5">
        <v>46538</v>
      </c>
      <c r="C1032" t="s">
        <v>1216</v>
      </c>
      <c r="D1032" t="s">
        <v>1232</v>
      </c>
      <c r="E1032" t="s">
        <v>1857</v>
      </c>
      <c r="F1032" t="s">
        <v>1901</v>
      </c>
      <c r="G1032" t="s">
        <v>1911</v>
      </c>
      <c r="H1032" t="s">
        <v>1915</v>
      </c>
      <c r="I1032" s="4">
        <v>34</v>
      </c>
      <c r="J1032" s="3">
        <v>106</v>
      </c>
      <c r="K1032" s="3">
        <f>Table1[[#This Row],[Quantity Sold]]*Table1[[#This Row],[Unit Price (INR)]]</f>
        <v>3604</v>
      </c>
      <c r="L1032" t="s">
        <v>1923</v>
      </c>
    </row>
    <row r="1033" spans="1:12" x14ac:dyDescent="0.35">
      <c r="A1033" t="s">
        <v>1042</v>
      </c>
      <c r="B1033" s="5">
        <v>46539</v>
      </c>
      <c r="C1033" t="s">
        <v>1212</v>
      </c>
      <c r="D1033" t="s">
        <v>1219</v>
      </c>
      <c r="E1033" t="s">
        <v>1858</v>
      </c>
      <c r="F1033" t="s">
        <v>1903</v>
      </c>
      <c r="G1033" t="s">
        <v>1909</v>
      </c>
      <c r="H1033" t="s">
        <v>1918</v>
      </c>
      <c r="I1033" s="4">
        <v>157</v>
      </c>
      <c r="J1033" s="3">
        <v>229</v>
      </c>
      <c r="K1033" s="3">
        <f>Table1[[#This Row],[Quantity Sold]]*Table1[[#This Row],[Unit Price (INR)]]</f>
        <v>35953</v>
      </c>
      <c r="L1033" t="s">
        <v>1921</v>
      </c>
    </row>
    <row r="1034" spans="1:12" x14ac:dyDescent="0.35">
      <c r="A1034" t="s">
        <v>1043</v>
      </c>
      <c r="B1034" s="5">
        <v>46540</v>
      </c>
      <c r="C1034" t="s">
        <v>1212</v>
      </c>
      <c r="D1034" t="s">
        <v>1240</v>
      </c>
      <c r="E1034" t="s">
        <v>1288</v>
      </c>
      <c r="F1034" t="s">
        <v>1898</v>
      </c>
      <c r="G1034" t="s">
        <v>1911</v>
      </c>
      <c r="H1034" t="s">
        <v>1917</v>
      </c>
      <c r="I1034" s="4">
        <v>127</v>
      </c>
      <c r="J1034" s="3">
        <v>281</v>
      </c>
      <c r="K1034" s="3">
        <f>Table1[[#This Row],[Quantity Sold]]*Table1[[#This Row],[Unit Price (INR)]]</f>
        <v>35687</v>
      </c>
      <c r="L1034" t="s">
        <v>1920</v>
      </c>
    </row>
    <row r="1035" spans="1:12" x14ac:dyDescent="0.35">
      <c r="A1035" t="s">
        <v>1044</v>
      </c>
      <c r="B1035" s="5">
        <v>46541</v>
      </c>
      <c r="C1035" t="s">
        <v>1217</v>
      </c>
      <c r="D1035" t="s">
        <v>1238</v>
      </c>
      <c r="E1035" t="s">
        <v>1542</v>
      </c>
      <c r="F1035" t="s">
        <v>1904</v>
      </c>
      <c r="G1035" t="s">
        <v>1908</v>
      </c>
      <c r="H1035" t="s">
        <v>1912</v>
      </c>
      <c r="I1035" s="4">
        <v>347</v>
      </c>
      <c r="J1035" s="3">
        <v>431</v>
      </c>
      <c r="K1035" s="3">
        <f>Table1[[#This Row],[Quantity Sold]]*Table1[[#This Row],[Unit Price (INR)]]</f>
        <v>149557</v>
      </c>
      <c r="L1035" t="s">
        <v>1920</v>
      </c>
    </row>
    <row r="1036" spans="1:12" x14ac:dyDescent="0.35">
      <c r="A1036" t="s">
        <v>1045</v>
      </c>
      <c r="B1036" s="5">
        <v>46542</v>
      </c>
      <c r="C1036" t="s">
        <v>1214</v>
      </c>
      <c r="D1036" t="s">
        <v>1222</v>
      </c>
      <c r="E1036" t="s">
        <v>1426</v>
      </c>
      <c r="F1036" t="s">
        <v>1898</v>
      </c>
      <c r="G1036" t="s">
        <v>1907</v>
      </c>
      <c r="H1036" t="s">
        <v>1915</v>
      </c>
      <c r="I1036" s="4">
        <v>376</v>
      </c>
      <c r="J1036" s="3">
        <v>392</v>
      </c>
      <c r="K1036" s="3">
        <f>Table1[[#This Row],[Quantity Sold]]*Table1[[#This Row],[Unit Price (INR)]]</f>
        <v>147392</v>
      </c>
      <c r="L1036" t="s">
        <v>1923</v>
      </c>
    </row>
    <row r="1037" spans="1:12" x14ac:dyDescent="0.35">
      <c r="A1037" t="s">
        <v>1046</v>
      </c>
      <c r="B1037" s="5">
        <v>46543</v>
      </c>
      <c r="C1037" t="s">
        <v>1214</v>
      </c>
      <c r="D1037" t="s">
        <v>1222</v>
      </c>
      <c r="E1037" t="s">
        <v>1771</v>
      </c>
      <c r="F1037" t="s">
        <v>1903</v>
      </c>
      <c r="G1037" t="s">
        <v>1911</v>
      </c>
      <c r="H1037" t="s">
        <v>1918</v>
      </c>
      <c r="I1037" s="4">
        <v>347</v>
      </c>
      <c r="J1037" s="3">
        <v>336</v>
      </c>
      <c r="K1037" s="3">
        <f>Table1[[#This Row],[Quantity Sold]]*Table1[[#This Row],[Unit Price (INR)]]</f>
        <v>116592</v>
      </c>
      <c r="L1037" t="s">
        <v>1923</v>
      </c>
    </row>
    <row r="1038" spans="1:12" x14ac:dyDescent="0.35">
      <c r="A1038" t="s">
        <v>1047</v>
      </c>
      <c r="B1038" s="5">
        <v>46544</v>
      </c>
      <c r="C1038" t="s">
        <v>1214</v>
      </c>
      <c r="D1038" t="s">
        <v>1222</v>
      </c>
      <c r="E1038" t="s">
        <v>1669</v>
      </c>
      <c r="F1038" t="s">
        <v>1901</v>
      </c>
      <c r="G1038" t="s">
        <v>1909</v>
      </c>
      <c r="H1038" t="s">
        <v>1915</v>
      </c>
      <c r="I1038" s="4">
        <v>75</v>
      </c>
      <c r="J1038" s="3">
        <v>113</v>
      </c>
      <c r="K1038" s="3">
        <f>Table1[[#This Row],[Quantity Sold]]*Table1[[#This Row],[Unit Price (INR)]]</f>
        <v>8475</v>
      </c>
      <c r="L1038" t="s">
        <v>1923</v>
      </c>
    </row>
    <row r="1039" spans="1:12" x14ac:dyDescent="0.35">
      <c r="A1039" t="s">
        <v>1048</v>
      </c>
      <c r="B1039" s="5">
        <v>46545</v>
      </c>
      <c r="C1039" t="s">
        <v>1213</v>
      </c>
      <c r="D1039" t="s">
        <v>1223</v>
      </c>
      <c r="E1039" t="s">
        <v>1837</v>
      </c>
      <c r="F1039" t="s">
        <v>1904</v>
      </c>
      <c r="G1039" t="s">
        <v>1909</v>
      </c>
      <c r="H1039" t="s">
        <v>1915</v>
      </c>
      <c r="I1039" s="4">
        <v>467</v>
      </c>
      <c r="J1039" s="3">
        <v>281</v>
      </c>
      <c r="K1039" s="3">
        <f>Table1[[#This Row],[Quantity Sold]]*Table1[[#This Row],[Unit Price (INR)]]</f>
        <v>131227</v>
      </c>
      <c r="L1039" t="s">
        <v>1923</v>
      </c>
    </row>
    <row r="1040" spans="1:12" x14ac:dyDescent="0.35">
      <c r="A1040" t="s">
        <v>1049</v>
      </c>
      <c r="B1040" s="5">
        <v>46546</v>
      </c>
      <c r="C1040" t="s">
        <v>1215</v>
      </c>
      <c r="D1040" t="s">
        <v>1242</v>
      </c>
      <c r="E1040" t="s">
        <v>1760</v>
      </c>
      <c r="F1040" t="s">
        <v>1897</v>
      </c>
      <c r="G1040" t="s">
        <v>1908</v>
      </c>
      <c r="H1040" t="s">
        <v>1914</v>
      </c>
      <c r="I1040" s="4">
        <v>310</v>
      </c>
      <c r="J1040" s="3">
        <v>338</v>
      </c>
      <c r="K1040" s="3">
        <f>Table1[[#This Row],[Quantity Sold]]*Table1[[#This Row],[Unit Price (INR)]]</f>
        <v>104780</v>
      </c>
      <c r="L1040" t="s">
        <v>1923</v>
      </c>
    </row>
    <row r="1041" spans="1:12" x14ac:dyDescent="0.35">
      <c r="A1041" t="s">
        <v>1050</v>
      </c>
      <c r="B1041" s="5">
        <v>46547</v>
      </c>
      <c r="C1041" t="s">
        <v>1213</v>
      </c>
      <c r="D1041" t="s">
        <v>1234</v>
      </c>
      <c r="E1041" t="s">
        <v>1614</v>
      </c>
      <c r="F1041" t="s">
        <v>1899</v>
      </c>
      <c r="G1041" t="s">
        <v>1909</v>
      </c>
      <c r="H1041" t="s">
        <v>1916</v>
      </c>
      <c r="I1041" s="4">
        <v>379</v>
      </c>
      <c r="J1041" s="3">
        <v>262</v>
      </c>
      <c r="K1041" s="3">
        <f>Table1[[#This Row],[Quantity Sold]]*Table1[[#This Row],[Unit Price (INR)]]</f>
        <v>99298</v>
      </c>
      <c r="L1041" t="s">
        <v>1922</v>
      </c>
    </row>
    <row r="1042" spans="1:12" x14ac:dyDescent="0.35">
      <c r="A1042" t="s">
        <v>1051</v>
      </c>
      <c r="B1042" s="5">
        <v>46548</v>
      </c>
      <c r="C1042" t="s">
        <v>1215</v>
      </c>
      <c r="D1042" t="s">
        <v>1243</v>
      </c>
      <c r="E1042" t="s">
        <v>1842</v>
      </c>
      <c r="F1042" t="s">
        <v>1904</v>
      </c>
      <c r="G1042" t="s">
        <v>1910</v>
      </c>
      <c r="H1042" t="s">
        <v>1914</v>
      </c>
      <c r="I1042" s="4">
        <v>184</v>
      </c>
      <c r="J1042" s="3">
        <v>307</v>
      </c>
      <c r="K1042" s="3">
        <f>Table1[[#This Row],[Quantity Sold]]*Table1[[#This Row],[Unit Price (INR)]]</f>
        <v>56488</v>
      </c>
      <c r="L1042" t="s">
        <v>1923</v>
      </c>
    </row>
    <row r="1043" spans="1:12" x14ac:dyDescent="0.35">
      <c r="A1043" t="s">
        <v>1052</v>
      </c>
      <c r="B1043" s="5">
        <v>46549</v>
      </c>
      <c r="C1043" t="s">
        <v>1214</v>
      </c>
      <c r="D1043" t="s">
        <v>1227</v>
      </c>
      <c r="E1043" t="s">
        <v>1859</v>
      </c>
      <c r="F1043" t="s">
        <v>1904</v>
      </c>
      <c r="G1043" t="s">
        <v>1907</v>
      </c>
      <c r="H1043" t="s">
        <v>1916</v>
      </c>
      <c r="I1043" s="4">
        <v>328</v>
      </c>
      <c r="J1043" s="3">
        <v>67</v>
      </c>
      <c r="K1043" s="3">
        <f>Table1[[#This Row],[Quantity Sold]]*Table1[[#This Row],[Unit Price (INR)]]</f>
        <v>21976</v>
      </c>
      <c r="L1043" t="s">
        <v>1921</v>
      </c>
    </row>
    <row r="1044" spans="1:12" x14ac:dyDescent="0.35">
      <c r="A1044" t="s">
        <v>1053</v>
      </c>
      <c r="B1044" s="5">
        <v>46550</v>
      </c>
      <c r="C1044" t="s">
        <v>1214</v>
      </c>
      <c r="D1044" t="s">
        <v>1222</v>
      </c>
      <c r="E1044" t="s">
        <v>1471</v>
      </c>
      <c r="F1044" t="s">
        <v>1901</v>
      </c>
      <c r="G1044" t="s">
        <v>1911</v>
      </c>
      <c r="H1044" t="s">
        <v>1915</v>
      </c>
      <c r="I1044" s="4">
        <v>85</v>
      </c>
      <c r="J1044" s="3">
        <v>224</v>
      </c>
      <c r="K1044" s="3">
        <f>Table1[[#This Row],[Quantity Sold]]*Table1[[#This Row],[Unit Price (INR)]]</f>
        <v>19040</v>
      </c>
      <c r="L1044" t="s">
        <v>1920</v>
      </c>
    </row>
    <row r="1045" spans="1:12" x14ac:dyDescent="0.35">
      <c r="A1045" t="s">
        <v>1054</v>
      </c>
      <c r="B1045" s="5">
        <v>46551</v>
      </c>
      <c r="C1045" t="s">
        <v>1213</v>
      </c>
      <c r="D1045" t="s">
        <v>1223</v>
      </c>
      <c r="E1045" t="s">
        <v>1496</v>
      </c>
      <c r="F1045" t="s">
        <v>1901</v>
      </c>
      <c r="G1045" t="s">
        <v>1907</v>
      </c>
      <c r="H1045" t="s">
        <v>1913</v>
      </c>
      <c r="I1045" s="4">
        <v>470</v>
      </c>
      <c r="J1045" s="3">
        <v>466</v>
      </c>
      <c r="K1045" s="3">
        <f>Table1[[#This Row],[Quantity Sold]]*Table1[[#This Row],[Unit Price (INR)]]</f>
        <v>219020</v>
      </c>
      <c r="L1045" t="s">
        <v>1921</v>
      </c>
    </row>
    <row r="1046" spans="1:12" x14ac:dyDescent="0.35">
      <c r="A1046" t="s">
        <v>1055</v>
      </c>
      <c r="B1046" s="5">
        <v>46552</v>
      </c>
      <c r="C1046" t="s">
        <v>1213</v>
      </c>
      <c r="D1046" t="s">
        <v>1234</v>
      </c>
      <c r="E1046" t="s">
        <v>1304</v>
      </c>
      <c r="F1046" t="s">
        <v>1903</v>
      </c>
      <c r="G1046" t="s">
        <v>1908</v>
      </c>
      <c r="H1046" t="s">
        <v>1912</v>
      </c>
      <c r="I1046" s="4">
        <v>123</v>
      </c>
      <c r="J1046" s="3">
        <v>278</v>
      </c>
      <c r="K1046" s="3">
        <f>Table1[[#This Row],[Quantity Sold]]*Table1[[#This Row],[Unit Price (INR)]]</f>
        <v>34194</v>
      </c>
      <c r="L1046" t="s">
        <v>1921</v>
      </c>
    </row>
    <row r="1047" spans="1:12" x14ac:dyDescent="0.35">
      <c r="A1047" t="s">
        <v>1056</v>
      </c>
      <c r="B1047" s="5">
        <v>46553</v>
      </c>
      <c r="C1047" t="s">
        <v>1215</v>
      </c>
      <c r="D1047" t="s">
        <v>1236</v>
      </c>
      <c r="E1047" t="s">
        <v>1474</v>
      </c>
      <c r="F1047" t="s">
        <v>1902</v>
      </c>
      <c r="G1047" t="s">
        <v>1911</v>
      </c>
      <c r="H1047" t="s">
        <v>1917</v>
      </c>
      <c r="I1047" s="4">
        <v>120</v>
      </c>
      <c r="J1047" s="3">
        <v>275</v>
      </c>
      <c r="K1047" s="3">
        <f>Table1[[#This Row],[Quantity Sold]]*Table1[[#This Row],[Unit Price (INR)]]</f>
        <v>33000</v>
      </c>
      <c r="L1047" t="s">
        <v>1922</v>
      </c>
    </row>
    <row r="1048" spans="1:12" x14ac:dyDescent="0.35">
      <c r="A1048" t="s">
        <v>1057</v>
      </c>
      <c r="B1048" s="5">
        <v>46554</v>
      </c>
      <c r="C1048" t="s">
        <v>1212</v>
      </c>
      <c r="D1048" t="s">
        <v>1229</v>
      </c>
      <c r="E1048" t="s">
        <v>1860</v>
      </c>
      <c r="F1048" t="s">
        <v>1904</v>
      </c>
      <c r="G1048" t="s">
        <v>1911</v>
      </c>
      <c r="H1048" t="s">
        <v>1915</v>
      </c>
      <c r="I1048" s="4">
        <v>258</v>
      </c>
      <c r="J1048" s="3">
        <v>133</v>
      </c>
      <c r="K1048" s="3">
        <f>Table1[[#This Row],[Quantity Sold]]*Table1[[#This Row],[Unit Price (INR)]]</f>
        <v>34314</v>
      </c>
      <c r="L1048" t="s">
        <v>1923</v>
      </c>
    </row>
    <row r="1049" spans="1:12" x14ac:dyDescent="0.35">
      <c r="A1049" t="s">
        <v>1058</v>
      </c>
      <c r="B1049" s="5">
        <v>46555</v>
      </c>
      <c r="C1049" t="s">
        <v>1215</v>
      </c>
      <c r="D1049" t="s">
        <v>1225</v>
      </c>
      <c r="E1049" t="s">
        <v>1861</v>
      </c>
      <c r="F1049" t="s">
        <v>1906</v>
      </c>
      <c r="G1049" t="s">
        <v>1910</v>
      </c>
      <c r="H1049" t="s">
        <v>1916</v>
      </c>
      <c r="I1049" s="4">
        <v>448</v>
      </c>
      <c r="J1049" s="3">
        <v>340</v>
      </c>
      <c r="K1049" s="3">
        <f>Table1[[#This Row],[Quantity Sold]]*Table1[[#This Row],[Unit Price (INR)]]</f>
        <v>152320</v>
      </c>
      <c r="L1049" t="s">
        <v>1920</v>
      </c>
    </row>
    <row r="1050" spans="1:12" x14ac:dyDescent="0.35">
      <c r="A1050" t="s">
        <v>1059</v>
      </c>
      <c r="B1050" s="5">
        <v>46556</v>
      </c>
      <c r="C1050" t="s">
        <v>1213</v>
      </c>
      <c r="D1050" t="s">
        <v>1234</v>
      </c>
      <c r="E1050" t="s">
        <v>1316</v>
      </c>
      <c r="F1050" t="s">
        <v>1904</v>
      </c>
      <c r="G1050" t="s">
        <v>1908</v>
      </c>
      <c r="H1050" t="s">
        <v>1916</v>
      </c>
      <c r="I1050" s="4">
        <v>212</v>
      </c>
      <c r="J1050" s="3">
        <v>484</v>
      </c>
      <c r="K1050" s="3">
        <f>Table1[[#This Row],[Quantity Sold]]*Table1[[#This Row],[Unit Price (INR)]]</f>
        <v>102608</v>
      </c>
      <c r="L1050" t="s">
        <v>1921</v>
      </c>
    </row>
    <row r="1051" spans="1:12" x14ac:dyDescent="0.35">
      <c r="A1051" t="s">
        <v>1060</v>
      </c>
      <c r="B1051" s="5">
        <v>46557</v>
      </c>
      <c r="C1051" t="s">
        <v>1216</v>
      </c>
      <c r="D1051" t="s">
        <v>1230</v>
      </c>
      <c r="E1051" t="s">
        <v>1327</v>
      </c>
      <c r="F1051" t="s">
        <v>1903</v>
      </c>
      <c r="G1051" t="s">
        <v>1909</v>
      </c>
      <c r="H1051" t="s">
        <v>1916</v>
      </c>
      <c r="I1051" s="4">
        <v>156</v>
      </c>
      <c r="J1051" s="3">
        <v>419</v>
      </c>
      <c r="K1051" s="3">
        <f>Table1[[#This Row],[Quantity Sold]]*Table1[[#This Row],[Unit Price (INR)]]</f>
        <v>65364</v>
      </c>
      <c r="L1051" t="s">
        <v>1923</v>
      </c>
    </row>
    <row r="1052" spans="1:12" x14ac:dyDescent="0.35">
      <c r="A1052" t="s">
        <v>1061</v>
      </c>
      <c r="B1052" s="5">
        <v>46558</v>
      </c>
      <c r="C1052" t="s">
        <v>1213</v>
      </c>
      <c r="D1052" t="s">
        <v>1220</v>
      </c>
      <c r="E1052" t="s">
        <v>1573</v>
      </c>
      <c r="F1052" t="s">
        <v>1905</v>
      </c>
      <c r="G1052" t="s">
        <v>1910</v>
      </c>
      <c r="H1052" t="s">
        <v>1915</v>
      </c>
      <c r="I1052" s="4">
        <v>44</v>
      </c>
      <c r="J1052" s="3">
        <v>295</v>
      </c>
      <c r="K1052" s="3">
        <f>Table1[[#This Row],[Quantity Sold]]*Table1[[#This Row],[Unit Price (INR)]]</f>
        <v>12980</v>
      </c>
      <c r="L1052" t="s">
        <v>1923</v>
      </c>
    </row>
    <row r="1053" spans="1:12" x14ac:dyDescent="0.35">
      <c r="A1053" t="s">
        <v>1062</v>
      </c>
      <c r="B1053" s="5">
        <v>46559</v>
      </c>
      <c r="C1053" t="s">
        <v>1216</v>
      </c>
      <c r="D1053" t="s">
        <v>1239</v>
      </c>
      <c r="E1053" t="s">
        <v>1457</v>
      </c>
      <c r="F1053" t="s">
        <v>1898</v>
      </c>
      <c r="G1053" t="s">
        <v>1910</v>
      </c>
      <c r="H1053" t="s">
        <v>1918</v>
      </c>
      <c r="I1053" s="4">
        <v>496</v>
      </c>
      <c r="J1053" s="3">
        <v>451</v>
      </c>
      <c r="K1053" s="3">
        <f>Table1[[#This Row],[Quantity Sold]]*Table1[[#This Row],[Unit Price (INR)]]</f>
        <v>223696</v>
      </c>
      <c r="L1053" t="s">
        <v>1922</v>
      </c>
    </row>
    <row r="1054" spans="1:12" x14ac:dyDescent="0.35">
      <c r="A1054" t="s">
        <v>1063</v>
      </c>
      <c r="B1054" s="5">
        <v>46560</v>
      </c>
      <c r="C1054" t="s">
        <v>1217</v>
      </c>
      <c r="D1054" t="s">
        <v>1245</v>
      </c>
      <c r="E1054" t="s">
        <v>1418</v>
      </c>
      <c r="F1054" t="s">
        <v>1899</v>
      </c>
      <c r="G1054" t="s">
        <v>1907</v>
      </c>
      <c r="H1054" t="s">
        <v>1913</v>
      </c>
      <c r="I1054" s="4">
        <v>318</v>
      </c>
      <c r="J1054" s="3">
        <v>159</v>
      </c>
      <c r="K1054" s="3">
        <f>Table1[[#This Row],[Quantity Sold]]*Table1[[#This Row],[Unit Price (INR)]]</f>
        <v>50562</v>
      </c>
      <c r="L1054" t="s">
        <v>1922</v>
      </c>
    </row>
    <row r="1055" spans="1:12" x14ac:dyDescent="0.35">
      <c r="A1055" t="s">
        <v>1064</v>
      </c>
      <c r="B1055" s="5">
        <v>46561</v>
      </c>
      <c r="C1055" t="s">
        <v>1213</v>
      </c>
      <c r="D1055" t="s">
        <v>1234</v>
      </c>
      <c r="E1055" t="s">
        <v>1351</v>
      </c>
      <c r="F1055" t="s">
        <v>1902</v>
      </c>
      <c r="G1055" t="s">
        <v>1907</v>
      </c>
      <c r="H1055" t="s">
        <v>1918</v>
      </c>
      <c r="I1055" s="4">
        <v>35</v>
      </c>
      <c r="J1055" s="3">
        <v>303</v>
      </c>
      <c r="K1055" s="3">
        <f>Table1[[#This Row],[Quantity Sold]]*Table1[[#This Row],[Unit Price (INR)]]</f>
        <v>10605</v>
      </c>
      <c r="L1055" t="s">
        <v>1922</v>
      </c>
    </row>
    <row r="1056" spans="1:12" x14ac:dyDescent="0.35">
      <c r="A1056" t="s">
        <v>1065</v>
      </c>
      <c r="B1056" s="5">
        <v>46562</v>
      </c>
      <c r="C1056" t="s">
        <v>1217</v>
      </c>
      <c r="D1056" t="s">
        <v>1237</v>
      </c>
      <c r="E1056" t="s">
        <v>1763</v>
      </c>
      <c r="F1056" t="s">
        <v>1897</v>
      </c>
      <c r="G1056" t="s">
        <v>1907</v>
      </c>
      <c r="H1056" t="s">
        <v>1917</v>
      </c>
      <c r="I1056" s="4">
        <v>247</v>
      </c>
      <c r="J1056" s="3">
        <v>137</v>
      </c>
      <c r="K1056" s="3">
        <f>Table1[[#This Row],[Quantity Sold]]*Table1[[#This Row],[Unit Price (INR)]]</f>
        <v>33839</v>
      </c>
      <c r="L1056" t="s">
        <v>1920</v>
      </c>
    </row>
    <row r="1057" spans="1:12" x14ac:dyDescent="0.35">
      <c r="A1057" t="s">
        <v>1066</v>
      </c>
      <c r="B1057" s="5">
        <v>46563</v>
      </c>
      <c r="C1057" t="s">
        <v>1212</v>
      </c>
      <c r="D1057" t="s">
        <v>1219</v>
      </c>
      <c r="E1057" t="s">
        <v>1517</v>
      </c>
      <c r="F1057" t="s">
        <v>1897</v>
      </c>
      <c r="G1057" t="s">
        <v>1910</v>
      </c>
      <c r="H1057" t="s">
        <v>1915</v>
      </c>
      <c r="I1057" s="4">
        <v>23</v>
      </c>
      <c r="J1057" s="3">
        <v>121</v>
      </c>
      <c r="K1057" s="3">
        <f>Table1[[#This Row],[Quantity Sold]]*Table1[[#This Row],[Unit Price (INR)]]</f>
        <v>2783</v>
      </c>
      <c r="L1057" t="s">
        <v>1921</v>
      </c>
    </row>
    <row r="1058" spans="1:12" x14ac:dyDescent="0.35">
      <c r="A1058" t="s">
        <v>1067</v>
      </c>
      <c r="B1058" s="5">
        <v>46564</v>
      </c>
      <c r="C1058" t="s">
        <v>1215</v>
      </c>
      <c r="D1058" t="s">
        <v>1225</v>
      </c>
      <c r="E1058" t="s">
        <v>1421</v>
      </c>
      <c r="F1058" t="s">
        <v>1897</v>
      </c>
      <c r="G1058" t="s">
        <v>1909</v>
      </c>
      <c r="H1058" t="s">
        <v>1916</v>
      </c>
      <c r="I1058" s="4">
        <v>383</v>
      </c>
      <c r="J1058" s="3">
        <v>430</v>
      </c>
      <c r="K1058" s="3">
        <f>Table1[[#This Row],[Quantity Sold]]*Table1[[#This Row],[Unit Price (INR)]]</f>
        <v>164690</v>
      </c>
      <c r="L1058" t="s">
        <v>1922</v>
      </c>
    </row>
    <row r="1059" spans="1:12" x14ac:dyDescent="0.35">
      <c r="A1059" t="s">
        <v>1068</v>
      </c>
      <c r="B1059" s="5">
        <v>46565</v>
      </c>
      <c r="C1059" t="s">
        <v>1216</v>
      </c>
      <c r="D1059" t="s">
        <v>1239</v>
      </c>
      <c r="E1059" t="s">
        <v>1327</v>
      </c>
      <c r="F1059" t="s">
        <v>1901</v>
      </c>
      <c r="G1059" t="s">
        <v>1911</v>
      </c>
      <c r="H1059" t="s">
        <v>1913</v>
      </c>
      <c r="I1059" s="4">
        <v>54</v>
      </c>
      <c r="J1059" s="3">
        <v>79</v>
      </c>
      <c r="K1059" s="3">
        <f>Table1[[#This Row],[Quantity Sold]]*Table1[[#This Row],[Unit Price (INR)]]</f>
        <v>4266</v>
      </c>
      <c r="L1059" t="s">
        <v>1922</v>
      </c>
    </row>
    <row r="1060" spans="1:12" x14ac:dyDescent="0.35">
      <c r="A1060" t="s">
        <v>1069</v>
      </c>
      <c r="B1060" s="5">
        <v>46566</v>
      </c>
      <c r="C1060" t="s">
        <v>1215</v>
      </c>
      <c r="D1060" t="s">
        <v>1231</v>
      </c>
      <c r="E1060" t="s">
        <v>1264</v>
      </c>
      <c r="F1060" t="s">
        <v>1897</v>
      </c>
      <c r="G1060" t="s">
        <v>1907</v>
      </c>
      <c r="H1060" t="s">
        <v>1913</v>
      </c>
      <c r="I1060" s="4">
        <v>437</v>
      </c>
      <c r="J1060" s="3">
        <v>221</v>
      </c>
      <c r="K1060" s="3">
        <f>Table1[[#This Row],[Quantity Sold]]*Table1[[#This Row],[Unit Price (INR)]]</f>
        <v>96577</v>
      </c>
      <c r="L1060" t="s">
        <v>1922</v>
      </c>
    </row>
    <row r="1061" spans="1:12" x14ac:dyDescent="0.35">
      <c r="A1061" t="s">
        <v>1070</v>
      </c>
      <c r="B1061" s="5">
        <v>46567</v>
      </c>
      <c r="C1061" t="s">
        <v>1217</v>
      </c>
      <c r="D1061" t="s">
        <v>1245</v>
      </c>
      <c r="E1061" t="s">
        <v>1835</v>
      </c>
      <c r="F1061" t="s">
        <v>1899</v>
      </c>
      <c r="G1061" t="s">
        <v>1909</v>
      </c>
      <c r="H1061" t="s">
        <v>1919</v>
      </c>
      <c r="I1061" s="4">
        <v>225</v>
      </c>
      <c r="J1061" s="3">
        <v>358</v>
      </c>
      <c r="K1061" s="3">
        <f>Table1[[#This Row],[Quantity Sold]]*Table1[[#This Row],[Unit Price (INR)]]</f>
        <v>80550</v>
      </c>
      <c r="L1061" t="s">
        <v>1921</v>
      </c>
    </row>
    <row r="1062" spans="1:12" x14ac:dyDescent="0.35">
      <c r="A1062" t="s">
        <v>1071</v>
      </c>
      <c r="B1062" s="5">
        <v>46568</v>
      </c>
      <c r="C1062" t="s">
        <v>1216</v>
      </c>
      <c r="D1062" t="s">
        <v>1232</v>
      </c>
      <c r="E1062" t="s">
        <v>1862</v>
      </c>
      <c r="F1062" t="s">
        <v>1898</v>
      </c>
      <c r="G1062" t="s">
        <v>1908</v>
      </c>
      <c r="H1062" t="s">
        <v>1917</v>
      </c>
      <c r="I1062" s="4">
        <v>242</v>
      </c>
      <c r="J1062" s="3">
        <v>443</v>
      </c>
      <c r="K1062" s="3">
        <f>Table1[[#This Row],[Quantity Sold]]*Table1[[#This Row],[Unit Price (INR)]]</f>
        <v>107206</v>
      </c>
      <c r="L1062" t="s">
        <v>1921</v>
      </c>
    </row>
    <row r="1063" spans="1:12" x14ac:dyDescent="0.35">
      <c r="A1063" t="s">
        <v>1072</v>
      </c>
      <c r="B1063" s="5">
        <v>46569</v>
      </c>
      <c r="C1063" t="s">
        <v>1215</v>
      </c>
      <c r="D1063" t="s">
        <v>1242</v>
      </c>
      <c r="E1063" t="s">
        <v>1863</v>
      </c>
      <c r="F1063" t="s">
        <v>1897</v>
      </c>
      <c r="G1063" t="s">
        <v>1907</v>
      </c>
      <c r="H1063" t="s">
        <v>1912</v>
      </c>
      <c r="I1063" s="4">
        <v>202</v>
      </c>
      <c r="J1063" s="3">
        <v>392</v>
      </c>
      <c r="K1063" s="3">
        <f>Table1[[#This Row],[Quantity Sold]]*Table1[[#This Row],[Unit Price (INR)]]</f>
        <v>79184</v>
      </c>
      <c r="L1063" t="s">
        <v>1922</v>
      </c>
    </row>
    <row r="1064" spans="1:12" x14ac:dyDescent="0.35">
      <c r="A1064" t="s">
        <v>1073</v>
      </c>
      <c r="B1064" s="5">
        <v>46570</v>
      </c>
      <c r="C1064" t="s">
        <v>1213</v>
      </c>
      <c r="D1064" t="s">
        <v>1244</v>
      </c>
      <c r="E1064" t="s">
        <v>1618</v>
      </c>
      <c r="F1064" t="s">
        <v>1904</v>
      </c>
      <c r="G1064" t="s">
        <v>1911</v>
      </c>
      <c r="H1064" t="s">
        <v>1912</v>
      </c>
      <c r="I1064" s="4">
        <v>60</v>
      </c>
      <c r="J1064" s="3">
        <v>485</v>
      </c>
      <c r="K1064" s="3">
        <f>Table1[[#This Row],[Quantity Sold]]*Table1[[#This Row],[Unit Price (INR)]]</f>
        <v>29100</v>
      </c>
      <c r="L1064" t="s">
        <v>1922</v>
      </c>
    </row>
    <row r="1065" spans="1:12" x14ac:dyDescent="0.35">
      <c r="A1065" t="s">
        <v>1074</v>
      </c>
      <c r="B1065" s="5">
        <v>46571</v>
      </c>
      <c r="C1065" t="s">
        <v>1214</v>
      </c>
      <c r="D1065" t="s">
        <v>1222</v>
      </c>
      <c r="E1065" t="s">
        <v>1285</v>
      </c>
      <c r="F1065" t="s">
        <v>1904</v>
      </c>
      <c r="G1065" t="s">
        <v>1908</v>
      </c>
      <c r="H1065" t="s">
        <v>1913</v>
      </c>
      <c r="I1065" s="4">
        <v>436</v>
      </c>
      <c r="J1065" s="3">
        <v>226</v>
      </c>
      <c r="K1065" s="3">
        <f>Table1[[#This Row],[Quantity Sold]]*Table1[[#This Row],[Unit Price (INR)]]</f>
        <v>98536</v>
      </c>
      <c r="L1065" t="s">
        <v>1923</v>
      </c>
    </row>
    <row r="1066" spans="1:12" x14ac:dyDescent="0.35">
      <c r="A1066" t="s">
        <v>1075</v>
      </c>
      <c r="B1066" s="5">
        <v>46572</v>
      </c>
      <c r="C1066" t="s">
        <v>1217</v>
      </c>
      <c r="D1066" t="s">
        <v>1237</v>
      </c>
      <c r="E1066" t="s">
        <v>1608</v>
      </c>
      <c r="F1066" t="s">
        <v>1901</v>
      </c>
      <c r="G1066" t="s">
        <v>1908</v>
      </c>
      <c r="H1066" t="s">
        <v>1915</v>
      </c>
      <c r="I1066" s="4">
        <v>384</v>
      </c>
      <c r="J1066" s="3">
        <v>188</v>
      </c>
      <c r="K1066" s="3">
        <f>Table1[[#This Row],[Quantity Sold]]*Table1[[#This Row],[Unit Price (INR)]]</f>
        <v>72192</v>
      </c>
      <c r="L1066" t="s">
        <v>1922</v>
      </c>
    </row>
    <row r="1067" spans="1:12" x14ac:dyDescent="0.35">
      <c r="A1067" t="s">
        <v>1076</v>
      </c>
      <c r="B1067" s="5">
        <v>46573</v>
      </c>
      <c r="C1067" t="s">
        <v>1215</v>
      </c>
      <c r="D1067" t="s">
        <v>1242</v>
      </c>
      <c r="E1067" t="s">
        <v>1490</v>
      </c>
      <c r="F1067" t="s">
        <v>1899</v>
      </c>
      <c r="G1067" t="s">
        <v>1911</v>
      </c>
      <c r="H1067" t="s">
        <v>1916</v>
      </c>
      <c r="I1067" s="4">
        <v>223</v>
      </c>
      <c r="J1067" s="3">
        <v>243</v>
      </c>
      <c r="K1067" s="3">
        <f>Table1[[#This Row],[Quantity Sold]]*Table1[[#This Row],[Unit Price (INR)]]</f>
        <v>54189</v>
      </c>
      <c r="L1067" t="s">
        <v>1920</v>
      </c>
    </row>
    <row r="1068" spans="1:12" x14ac:dyDescent="0.35">
      <c r="A1068" t="s">
        <v>1077</v>
      </c>
      <c r="B1068" s="5">
        <v>46574</v>
      </c>
      <c r="C1068" t="s">
        <v>1217</v>
      </c>
      <c r="D1068" t="s">
        <v>1245</v>
      </c>
      <c r="E1068" t="s">
        <v>1361</v>
      </c>
      <c r="F1068" t="s">
        <v>1898</v>
      </c>
      <c r="G1068" t="s">
        <v>1907</v>
      </c>
      <c r="H1068" t="s">
        <v>1916</v>
      </c>
      <c r="I1068" s="4">
        <v>160</v>
      </c>
      <c r="J1068" s="3">
        <v>235</v>
      </c>
      <c r="K1068" s="3">
        <f>Table1[[#This Row],[Quantity Sold]]*Table1[[#This Row],[Unit Price (INR)]]</f>
        <v>37600</v>
      </c>
      <c r="L1068" t="s">
        <v>1920</v>
      </c>
    </row>
    <row r="1069" spans="1:12" x14ac:dyDescent="0.35">
      <c r="A1069" t="s">
        <v>1078</v>
      </c>
      <c r="B1069" s="5">
        <v>46575</v>
      </c>
      <c r="C1069" t="s">
        <v>1211</v>
      </c>
      <c r="D1069" t="s">
        <v>1221</v>
      </c>
      <c r="E1069" t="s">
        <v>1394</v>
      </c>
      <c r="F1069" t="s">
        <v>1902</v>
      </c>
      <c r="G1069" t="s">
        <v>1910</v>
      </c>
      <c r="H1069" t="s">
        <v>1913</v>
      </c>
      <c r="I1069" s="4">
        <v>449</v>
      </c>
      <c r="J1069" s="3">
        <v>267</v>
      </c>
      <c r="K1069" s="3">
        <f>Table1[[#This Row],[Quantity Sold]]*Table1[[#This Row],[Unit Price (INR)]]</f>
        <v>119883</v>
      </c>
      <c r="L1069" t="s">
        <v>1922</v>
      </c>
    </row>
    <row r="1070" spans="1:12" x14ac:dyDescent="0.35">
      <c r="A1070" t="s">
        <v>1079</v>
      </c>
      <c r="B1070" s="5">
        <v>46576</v>
      </c>
      <c r="C1070" t="s">
        <v>1217</v>
      </c>
      <c r="D1070" t="s">
        <v>1235</v>
      </c>
      <c r="E1070" t="s">
        <v>1864</v>
      </c>
      <c r="F1070" t="s">
        <v>1903</v>
      </c>
      <c r="G1070" t="s">
        <v>1911</v>
      </c>
      <c r="H1070" t="s">
        <v>1918</v>
      </c>
      <c r="I1070" s="4">
        <v>284</v>
      </c>
      <c r="J1070" s="3">
        <v>213</v>
      </c>
      <c r="K1070" s="3">
        <f>Table1[[#This Row],[Quantity Sold]]*Table1[[#This Row],[Unit Price (INR)]]</f>
        <v>60492</v>
      </c>
      <c r="L1070" t="s">
        <v>1921</v>
      </c>
    </row>
    <row r="1071" spans="1:12" x14ac:dyDescent="0.35">
      <c r="A1071" t="s">
        <v>1080</v>
      </c>
      <c r="B1071" s="5">
        <v>46577</v>
      </c>
      <c r="C1071" t="s">
        <v>1216</v>
      </c>
      <c r="D1071" t="s">
        <v>1232</v>
      </c>
      <c r="E1071" t="s">
        <v>1394</v>
      </c>
      <c r="F1071" t="s">
        <v>1898</v>
      </c>
      <c r="G1071" t="s">
        <v>1911</v>
      </c>
      <c r="H1071" t="s">
        <v>1917</v>
      </c>
      <c r="I1071" s="4">
        <v>347</v>
      </c>
      <c r="J1071" s="3">
        <v>210</v>
      </c>
      <c r="K1071" s="3">
        <f>Table1[[#This Row],[Quantity Sold]]*Table1[[#This Row],[Unit Price (INR)]]</f>
        <v>72870</v>
      </c>
      <c r="L1071" t="s">
        <v>1923</v>
      </c>
    </row>
    <row r="1072" spans="1:12" x14ac:dyDescent="0.35">
      <c r="A1072" t="s">
        <v>1081</v>
      </c>
      <c r="B1072" s="5">
        <v>46578</v>
      </c>
      <c r="C1072" t="s">
        <v>1211</v>
      </c>
      <c r="D1072" t="s">
        <v>1218</v>
      </c>
      <c r="E1072" t="s">
        <v>1413</v>
      </c>
      <c r="F1072" t="s">
        <v>1903</v>
      </c>
      <c r="G1072" t="s">
        <v>1911</v>
      </c>
      <c r="H1072" t="s">
        <v>1916</v>
      </c>
      <c r="I1072" s="4">
        <v>85</v>
      </c>
      <c r="J1072" s="3">
        <v>480</v>
      </c>
      <c r="K1072" s="3">
        <f>Table1[[#This Row],[Quantity Sold]]*Table1[[#This Row],[Unit Price (INR)]]</f>
        <v>40800</v>
      </c>
      <c r="L1072" t="s">
        <v>1921</v>
      </c>
    </row>
    <row r="1073" spans="1:12" x14ac:dyDescent="0.35">
      <c r="A1073" t="s">
        <v>1082</v>
      </c>
      <c r="B1073" s="5">
        <v>46579</v>
      </c>
      <c r="C1073" t="s">
        <v>1216</v>
      </c>
      <c r="D1073" t="s">
        <v>1232</v>
      </c>
      <c r="E1073" t="s">
        <v>1251</v>
      </c>
      <c r="F1073" t="s">
        <v>1905</v>
      </c>
      <c r="G1073" t="s">
        <v>1908</v>
      </c>
      <c r="H1073" t="s">
        <v>1913</v>
      </c>
      <c r="I1073" s="4">
        <v>448</v>
      </c>
      <c r="J1073" s="3">
        <v>62</v>
      </c>
      <c r="K1073" s="3">
        <f>Table1[[#This Row],[Quantity Sold]]*Table1[[#This Row],[Unit Price (INR)]]</f>
        <v>27776</v>
      </c>
      <c r="L1073" t="s">
        <v>1922</v>
      </c>
    </row>
    <row r="1074" spans="1:12" x14ac:dyDescent="0.35">
      <c r="A1074" t="s">
        <v>1083</v>
      </c>
      <c r="B1074" s="5">
        <v>46580</v>
      </c>
      <c r="C1074" t="s">
        <v>1214</v>
      </c>
      <c r="D1074" t="s">
        <v>1228</v>
      </c>
      <c r="E1074" t="s">
        <v>1865</v>
      </c>
      <c r="F1074" t="s">
        <v>1903</v>
      </c>
      <c r="G1074" t="s">
        <v>1909</v>
      </c>
      <c r="H1074" t="s">
        <v>1916</v>
      </c>
      <c r="I1074" s="4">
        <v>229</v>
      </c>
      <c r="J1074" s="3">
        <v>345</v>
      </c>
      <c r="K1074" s="3">
        <f>Table1[[#This Row],[Quantity Sold]]*Table1[[#This Row],[Unit Price (INR)]]</f>
        <v>79005</v>
      </c>
      <c r="L1074" t="s">
        <v>1920</v>
      </c>
    </row>
    <row r="1075" spans="1:12" x14ac:dyDescent="0.35">
      <c r="A1075" t="s">
        <v>1084</v>
      </c>
      <c r="B1075" s="5">
        <v>46581</v>
      </c>
      <c r="C1075" t="s">
        <v>1211</v>
      </c>
      <c r="D1075" t="s">
        <v>1221</v>
      </c>
      <c r="E1075" t="s">
        <v>1814</v>
      </c>
      <c r="F1075" t="s">
        <v>1906</v>
      </c>
      <c r="G1075" t="s">
        <v>1910</v>
      </c>
      <c r="H1075" t="s">
        <v>1912</v>
      </c>
      <c r="I1075" s="4">
        <v>357</v>
      </c>
      <c r="J1075" s="3">
        <v>138</v>
      </c>
      <c r="K1075" s="3">
        <f>Table1[[#This Row],[Quantity Sold]]*Table1[[#This Row],[Unit Price (INR)]]</f>
        <v>49266</v>
      </c>
      <c r="L1075" t="s">
        <v>1923</v>
      </c>
    </row>
    <row r="1076" spans="1:12" x14ac:dyDescent="0.35">
      <c r="A1076" t="s">
        <v>1085</v>
      </c>
      <c r="B1076" s="5">
        <v>46582</v>
      </c>
      <c r="C1076" t="s">
        <v>1213</v>
      </c>
      <c r="D1076" t="s">
        <v>1220</v>
      </c>
      <c r="E1076" t="s">
        <v>1496</v>
      </c>
      <c r="F1076" t="s">
        <v>1904</v>
      </c>
      <c r="G1076" t="s">
        <v>1907</v>
      </c>
      <c r="H1076" t="s">
        <v>1913</v>
      </c>
      <c r="I1076" s="4">
        <v>453</v>
      </c>
      <c r="J1076" s="3">
        <v>373</v>
      </c>
      <c r="K1076" s="3">
        <f>Table1[[#This Row],[Quantity Sold]]*Table1[[#This Row],[Unit Price (INR)]]</f>
        <v>168969</v>
      </c>
      <c r="L1076" t="s">
        <v>1921</v>
      </c>
    </row>
    <row r="1077" spans="1:12" x14ac:dyDescent="0.35">
      <c r="A1077" t="s">
        <v>1086</v>
      </c>
      <c r="B1077" s="5">
        <v>46583</v>
      </c>
      <c r="C1077" t="s">
        <v>1217</v>
      </c>
      <c r="D1077" t="s">
        <v>1246</v>
      </c>
      <c r="E1077" t="s">
        <v>1265</v>
      </c>
      <c r="F1077" t="s">
        <v>1899</v>
      </c>
      <c r="G1077" t="s">
        <v>1907</v>
      </c>
      <c r="H1077" t="s">
        <v>1917</v>
      </c>
      <c r="I1077" s="4">
        <v>196</v>
      </c>
      <c r="J1077" s="3">
        <v>91</v>
      </c>
      <c r="K1077" s="3">
        <f>Table1[[#This Row],[Quantity Sold]]*Table1[[#This Row],[Unit Price (INR)]]</f>
        <v>17836</v>
      </c>
      <c r="L1077" t="s">
        <v>1921</v>
      </c>
    </row>
    <row r="1078" spans="1:12" x14ac:dyDescent="0.35">
      <c r="A1078" t="s">
        <v>1087</v>
      </c>
      <c r="B1078" s="5">
        <v>46584</v>
      </c>
      <c r="C1078" t="s">
        <v>1215</v>
      </c>
      <c r="D1078" t="s">
        <v>1225</v>
      </c>
      <c r="E1078" t="s">
        <v>1460</v>
      </c>
      <c r="F1078" t="s">
        <v>1900</v>
      </c>
      <c r="G1078" t="s">
        <v>1909</v>
      </c>
      <c r="H1078" t="s">
        <v>1913</v>
      </c>
      <c r="I1078" s="4">
        <v>298</v>
      </c>
      <c r="J1078" s="3">
        <v>452</v>
      </c>
      <c r="K1078" s="3">
        <f>Table1[[#This Row],[Quantity Sold]]*Table1[[#This Row],[Unit Price (INR)]]</f>
        <v>134696</v>
      </c>
      <c r="L1078" t="s">
        <v>1922</v>
      </c>
    </row>
    <row r="1079" spans="1:12" x14ac:dyDescent="0.35">
      <c r="A1079" t="s">
        <v>1088</v>
      </c>
      <c r="B1079" s="5">
        <v>46585</v>
      </c>
      <c r="C1079" t="s">
        <v>1212</v>
      </c>
      <c r="D1079" t="s">
        <v>1233</v>
      </c>
      <c r="E1079" t="s">
        <v>1340</v>
      </c>
      <c r="F1079" t="s">
        <v>1901</v>
      </c>
      <c r="G1079" t="s">
        <v>1911</v>
      </c>
      <c r="H1079" t="s">
        <v>1919</v>
      </c>
      <c r="I1079" s="4">
        <v>412</v>
      </c>
      <c r="J1079" s="3">
        <v>259</v>
      </c>
      <c r="K1079" s="3">
        <f>Table1[[#This Row],[Quantity Sold]]*Table1[[#This Row],[Unit Price (INR)]]</f>
        <v>106708</v>
      </c>
      <c r="L1079" t="s">
        <v>1923</v>
      </c>
    </row>
    <row r="1080" spans="1:12" x14ac:dyDescent="0.35">
      <c r="A1080" t="s">
        <v>1089</v>
      </c>
      <c r="B1080" s="5">
        <v>46586</v>
      </c>
      <c r="C1080" t="s">
        <v>1217</v>
      </c>
      <c r="D1080" t="s">
        <v>1245</v>
      </c>
      <c r="E1080" t="s">
        <v>1866</v>
      </c>
      <c r="F1080" t="s">
        <v>1906</v>
      </c>
      <c r="G1080" t="s">
        <v>1910</v>
      </c>
      <c r="H1080" t="s">
        <v>1913</v>
      </c>
      <c r="I1080" s="4">
        <v>37</v>
      </c>
      <c r="J1080" s="3">
        <v>278</v>
      </c>
      <c r="K1080" s="3">
        <f>Table1[[#This Row],[Quantity Sold]]*Table1[[#This Row],[Unit Price (INR)]]</f>
        <v>10286</v>
      </c>
      <c r="L1080" t="s">
        <v>1920</v>
      </c>
    </row>
    <row r="1081" spans="1:12" x14ac:dyDescent="0.35">
      <c r="A1081" t="s">
        <v>1090</v>
      </c>
      <c r="B1081" s="5">
        <v>46587</v>
      </c>
      <c r="C1081" t="s">
        <v>1217</v>
      </c>
      <c r="D1081" t="s">
        <v>1237</v>
      </c>
      <c r="E1081" t="s">
        <v>1622</v>
      </c>
      <c r="F1081" t="s">
        <v>1903</v>
      </c>
      <c r="G1081" t="s">
        <v>1907</v>
      </c>
      <c r="H1081" t="s">
        <v>1913</v>
      </c>
      <c r="I1081" s="4">
        <v>388</v>
      </c>
      <c r="J1081" s="3">
        <v>399</v>
      </c>
      <c r="K1081" s="3">
        <f>Table1[[#This Row],[Quantity Sold]]*Table1[[#This Row],[Unit Price (INR)]]</f>
        <v>154812</v>
      </c>
      <c r="L1081" t="s">
        <v>1922</v>
      </c>
    </row>
    <row r="1082" spans="1:12" x14ac:dyDescent="0.35">
      <c r="A1082" t="s">
        <v>1091</v>
      </c>
      <c r="B1082" s="5">
        <v>46588</v>
      </c>
      <c r="C1082" t="s">
        <v>1214</v>
      </c>
      <c r="D1082" t="s">
        <v>1226</v>
      </c>
      <c r="E1082" t="s">
        <v>1867</v>
      </c>
      <c r="F1082" t="s">
        <v>1897</v>
      </c>
      <c r="G1082" t="s">
        <v>1907</v>
      </c>
      <c r="H1082" t="s">
        <v>1915</v>
      </c>
      <c r="I1082" s="4">
        <v>189</v>
      </c>
      <c r="J1082" s="3">
        <v>324</v>
      </c>
      <c r="K1082" s="3">
        <f>Table1[[#This Row],[Quantity Sold]]*Table1[[#This Row],[Unit Price (INR)]]</f>
        <v>61236</v>
      </c>
      <c r="L1082" t="s">
        <v>1923</v>
      </c>
    </row>
    <row r="1083" spans="1:12" x14ac:dyDescent="0.35">
      <c r="A1083" t="s">
        <v>1092</v>
      </c>
      <c r="B1083" s="5">
        <v>46589</v>
      </c>
      <c r="C1083" t="s">
        <v>1213</v>
      </c>
      <c r="D1083" t="s">
        <v>1244</v>
      </c>
      <c r="E1083" t="s">
        <v>1808</v>
      </c>
      <c r="F1083" t="s">
        <v>1899</v>
      </c>
      <c r="G1083" t="s">
        <v>1911</v>
      </c>
      <c r="H1083" t="s">
        <v>1912</v>
      </c>
      <c r="I1083" s="4">
        <v>262</v>
      </c>
      <c r="J1083" s="3">
        <v>491</v>
      </c>
      <c r="K1083" s="3">
        <f>Table1[[#This Row],[Quantity Sold]]*Table1[[#This Row],[Unit Price (INR)]]</f>
        <v>128642</v>
      </c>
      <c r="L1083" t="s">
        <v>1921</v>
      </c>
    </row>
    <row r="1084" spans="1:12" x14ac:dyDescent="0.35">
      <c r="A1084" t="s">
        <v>1093</v>
      </c>
      <c r="B1084" s="5">
        <v>46590</v>
      </c>
      <c r="C1084" t="s">
        <v>1212</v>
      </c>
      <c r="D1084" t="s">
        <v>1240</v>
      </c>
      <c r="E1084" t="s">
        <v>1462</v>
      </c>
      <c r="F1084" t="s">
        <v>1906</v>
      </c>
      <c r="G1084" t="s">
        <v>1909</v>
      </c>
      <c r="H1084" t="s">
        <v>1917</v>
      </c>
      <c r="I1084" s="4">
        <v>135</v>
      </c>
      <c r="J1084" s="3">
        <v>328</v>
      </c>
      <c r="K1084" s="3">
        <f>Table1[[#This Row],[Quantity Sold]]*Table1[[#This Row],[Unit Price (INR)]]</f>
        <v>44280</v>
      </c>
      <c r="L1084" t="s">
        <v>1922</v>
      </c>
    </row>
    <row r="1085" spans="1:12" x14ac:dyDescent="0.35">
      <c r="A1085" t="s">
        <v>1094</v>
      </c>
      <c r="B1085" s="5">
        <v>46591</v>
      </c>
      <c r="C1085" t="s">
        <v>1211</v>
      </c>
      <c r="D1085" t="s">
        <v>1221</v>
      </c>
      <c r="E1085" t="s">
        <v>1868</v>
      </c>
      <c r="F1085" t="s">
        <v>1901</v>
      </c>
      <c r="G1085" t="s">
        <v>1910</v>
      </c>
      <c r="H1085" t="s">
        <v>1915</v>
      </c>
      <c r="I1085" s="4">
        <v>186</v>
      </c>
      <c r="J1085" s="3">
        <v>300</v>
      </c>
      <c r="K1085" s="3">
        <f>Table1[[#This Row],[Quantity Sold]]*Table1[[#This Row],[Unit Price (INR)]]</f>
        <v>55800</v>
      </c>
      <c r="L1085" t="s">
        <v>1921</v>
      </c>
    </row>
    <row r="1086" spans="1:12" x14ac:dyDescent="0.35">
      <c r="A1086" t="s">
        <v>1095</v>
      </c>
      <c r="B1086" s="5">
        <v>46592</v>
      </c>
      <c r="C1086" t="s">
        <v>1211</v>
      </c>
      <c r="D1086" t="s">
        <v>1218</v>
      </c>
      <c r="E1086" t="s">
        <v>1869</v>
      </c>
      <c r="F1086" t="s">
        <v>1904</v>
      </c>
      <c r="G1086" t="s">
        <v>1909</v>
      </c>
      <c r="H1086" t="s">
        <v>1913</v>
      </c>
      <c r="I1086" s="4">
        <v>46</v>
      </c>
      <c r="J1086" s="3">
        <v>359</v>
      </c>
      <c r="K1086" s="3">
        <f>Table1[[#This Row],[Quantity Sold]]*Table1[[#This Row],[Unit Price (INR)]]</f>
        <v>16514</v>
      </c>
      <c r="L1086" t="s">
        <v>1921</v>
      </c>
    </row>
    <row r="1087" spans="1:12" x14ac:dyDescent="0.35">
      <c r="A1087" t="s">
        <v>1096</v>
      </c>
      <c r="B1087" s="5">
        <v>46593</v>
      </c>
      <c r="C1087" t="s">
        <v>1211</v>
      </c>
      <c r="D1087" t="s">
        <v>1218</v>
      </c>
      <c r="E1087" t="s">
        <v>1608</v>
      </c>
      <c r="F1087" t="s">
        <v>1899</v>
      </c>
      <c r="G1087" t="s">
        <v>1909</v>
      </c>
      <c r="H1087" t="s">
        <v>1917</v>
      </c>
      <c r="I1087" s="4">
        <v>419</v>
      </c>
      <c r="J1087" s="3">
        <v>257</v>
      </c>
      <c r="K1087" s="3">
        <f>Table1[[#This Row],[Quantity Sold]]*Table1[[#This Row],[Unit Price (INR)]]</f>
        <v>107683</v>
      </c>
      <c r="L1087" t="s">
        <v>1922</v>
      </c>
    </row>
    <row r="1088" spans="1:12" x14ac:dyDescent="0.35">
      <c r="A1088" t="s">
        <v>1097</v>
      </c>
      <c r="B1088" s="5">
        <v>46594</v>
      </c>
      <c r="C1088" t="s">
        <v>1216</v>
      </c>
      <c r="D1088" t="s">
        <v>1239</v>
      </c>
      <c r="E1088" t="s">
        <v>1797</v>
      </c>
      <c r="F1088" t="s">
        <v>1901</v>
      </c>
      <c r="G1088" t="s">
        <v>1910</v>
      </c>
      <c r="H1088" t="s">
        <v>1919</v>
      </c>
      <c r="I1088" s="4">
        <v>108</v>
      </c>
      <c r="J1088" s="3">
        <v>370</v>
      </c>
      <c r="K1088" s="3">
        <f>Table1[[#This Row],[Quantity Sold]]*Table1[[#This Row],[Unit Price (INR)]]</f>
        <v>39960</v>
      </c>
      <c r="L1088" t="s">
        <v>1922</v>
      </c>
    </row>
    <row r="1089" spans="1:12" x14ac:dyDescent="0.35">
      <c r="A1089" t="s">
        <v>1098</v>
      </c>
      <c r="B1089" s="5">
        <v>46595</v>
      </c>
      <c r="C1089" t="s">
        <v>1216</v>
      </c>
      <c r="D1089" t="s">
        <v>1232</v>
      </c>
      <c r="E1089" t="s">
        <v>1870</v>
      </c>
      <c r="F1089" t="s">
        <v>1905</v>
      </c>
      <c r="G1089" t="s">
        <v>1910</v>
      </c>
      <c r="H1089" t="s">
        <v>1917</v>
      </c>
      <c r="I1089" s="4">
        <v>107</v>
      </c>
      <c r="J1089" s="3">
        <v>189</v>
      </c>
      <c r="K1089" s="3">
        <f>Table1[[#This Row],[Quantity Sold]]*Table1[[#This Row],[Unit Price (INR)]]</f>
        <v>20223</v>
      </c>
      <c r="L1089" t="s">
        <v>1922</v>
      </c>
    </row>
    <row r="1090" spans="1:12" x14ac:dyDescent="0.35">
      <c r="A1090" t="s">
        <v>1099</v>
      </c>
      <c r="B1090" s="5">
        <v>46596</v>
      </c>
      <c r="C1090" t="s">
        <v>1215</v>
      </c>
      <c r="D1090" t="s">
        <v>1243</v>
      </c>
      <c r="E1090" t="s">
        <v>1390</v>
      </c>
      <c r="F1090" t="s">
        <v>1905</v>
      </c>
      <c r="G1090" t="s">
        <v>1907</v>
      </c>
      <c r="H1090" t="s">
        <v>1916</v>
      </c>
      <c r="I1090" s="4">
        <v>136</v>
      </c>
      <c r="J1090" s="3">
        <v>329</v>
      </c>
      <c r="K1090" s="3">
        <f>Table1[[#This Row],[Quantity Sold]]*Table1[[#This Row],[Unit Price (INR)]]</f>
        <v>44744</v>
      </c>
      <c r="L1090" t="s">
        <v>1922</v>
      </c>
    </row>
    <row r="1091" spans="1:12" x14ac:dyDescent="0.35">
      <c r="A1091" t="s">
        <v>1100</v>
      </c>
      <c r="B1091" s="5">
        <v>46597</v>
      </c>
      <c r="C1091" t="s">
        <v>1212</v>
      </c>
      <c r="D1091" t="s">
        <v>1240</v>
      </c>
      <c r="E1091" t="s">
        <v>1871</v>
      </c>
      <c r="F1091" t="s">
        <v>1901</v>
      </c>
      <c r="G1091" t="s">
        <v>1907</v>
      </c>
      <c r="H1091" t="s">
        <v>1915</v>
      </c>
      <c r="I1091" s="4">
        <v>492</v>
      </c>
      <c r="J1091" s="3">
        <v>83</v>
      </c>
      <c r="K1091" s="3">
        <f>Table1[[#This Row],[Quantity Sold]]*Table1[[#This Row],[Unit Price (INR)]]</f>
        <v>40836</v>
      </c>
      <c r="L1091" t="s">
        <v>1922</v>
      </c>
    </row>
    <row r="1092" spans="1:12" x14ac:dyDescent="0.35">
      <c r="A1092" t="s">
        <v>1101</v>
      </c>
      <c r="B1092" s="5">
        <v>46598</v>
      </c>
      <c r="C1092" t="s">
        <v>1211</v>
      </c>
      <c r="D1092" t="s">
        <v>1218</v>
      </c>
      <c r="E1092" t="s">
        <v>1380</v>
      </c>
      <c r="F1092" t="s">
        <v>1906</v>
      </c>
      <c r="G1092" t="s">
        <v>1910</v>
      </c>
      <c r="H1092" t="s">
        <v>1917</v>
      </c>
      <c r="I1092" s="4">
        <v>177</v>
      </c>
      <c r="J1092" s="3">
        <v>358</v>
      </c>
      <c r="K1092" s="3">
        <f>Table1[[#This Row],[Quantity Sold]]*Table1[[#This Row],[Unit Price (INR)]]</f>
        <v>63366</v>
      </c>
      <c r="L1092" t="s">
        <v>1921</v>
      </c>
    </row>
    <row r="1093" spans="1:12" x14ac:dyDescent="0.35">
      <c r="A1093" t="s">
        <v>1102</v>
      </c>
      <c r="B1093" s="5">
        <v>46599</v>
      </c>
      <c r="C1093" t="s">
        <v>1216</v>
      </c>
      <c r="D1093" t="s">
        <v>1239</v>
      </c>
      <c r="E1093" t="s">
        <v>1872</v>
      </c>
      <c r="F1093" t="s">
        <v>1899</v>
      </c>
      <c r="G1093" t="s">
        <v>1908</v>
      </c>
      <c r="H1093" t="s">
        <v>1912</v>
      </c>
      <c r="I1093" s="4">
        <v>89</v>
      </c>
      <c r="J1093" s="3">
        <v>441</v>
      </c>
      <c r="K1093" s="3">
        <f>Table1[[#This Row],[Quantity Sold]]*Table1[[#This Row],[Unit Price (INR)]]</f>
        <v>39249</v>
      </c>
      <c r="L1093" t="s">
        <v>1920</v>
      </c>
    </row>
    <row r="1094" spans="1:12" x14ac:dyDescent="0.35">
      <c r="A1094" t="s">
        <v>1103</v>
      </c>
      <c r="B1094" s="5">
        <v>46600</v>
      </c>
      <c r="C1094" t="s">
        <v>1215</v>
      </c>
      <c r="D1094" t="s">
        <v>1236</v>
      </c>
      <c r="E1094" t="s">
        <v>1283</v>
      </c>
      <c r="F1094" t="s">
        <v>1906</v>
      </c>
      <c r="G1094" t="s">
        <v>1907</v>
      </c>
      <c r="H1094" t="s">
        <v>1919</v>
      </c>
      <c r="I1094" s="4">
        <v>303</v>
      </c>
      <c r="J1094" s="3">
        <v>67</v>
      </c>
      <c r="K1094" s="3">
        <f>Table1[[#This Row],[Quantity Sold]]*Table1[[#This Row],[Unit Price (INR)]]</f>
        <v>20301</v>
      </c>
      <c r="L1094" t="s">
        <v>1920</v>
      </c>
    </row>
    <row r="1095" spans="1:12" x14ac:dyDescent="0.35">
      <c r="A1095" t="s">
        <v>1104</v>
      </c>
      <c r="B1095" s="5">
        <v>46601</v>
      </c>
      <c r="C1095" t="s">
        <v>1213</v>
      </c>
      <c r="D1095" t="s">
        <v>1244</v>
      </c>
      <c r="E1095" t="s">
        <v>1571</v>
      </c>
      <c r="F1095" t="s">
        <v>1902</v>
      </c>
      <c r="G1095" t="s">
        <v>1908</v>
      </c>
      <c r="H1095" t="s">
        <v>1914</v>
      </c>
      <c r="I1095" s="4">
        <v>342</v>
      </c>
      <c r="J1095" s="3">
        <v>106</v>
      </c>
      <c r="K1095" s="3">
        <f>Table1[[#This Row],[Quantity Sold]]*Table1[[#This Row],[Unit Price (INR)]]</f>
        <v>36252</v>
      </c>
      <c r="L1095" t="s">
        <v>1922</v>
      </c>
    </row>
    <row r="1096" spans="1:12" x14ac:dyDescent="0.35">
      <c r="A1096" t="s">
        <v>1105</v>
      </c>
      <c r="B1096" s="5">
        <v>46602</v>
      </c>
      <c r="C1096" t="s">
        <v>1215</v>
      </c>
      <c r="D1096" t="s">
        <v>1225</v>
      </c>
      <c r="E1096" t="s">
        <v>1751</v>
      </c>
      <c r="F1096" t="s">
        <v>1903</v>
      </c>
      <c r="G1096" t="s">
        <v>1910</v>
      </c>
      <c r="H1096" t="s">
        <v>1913</v>
      </c>
      <c r="I1096" s="4">
        <v>135</v>
      </c>
      <c r="J1096" s="3">
        <v>161</v>
      </c>
      <c r="K1096" s="3">
        <f>Table1[[#This Row],[Quantity Sold]]*Table1[[#This Row],[Unit Price (INR)]]</f>
        <v>21735</v>
      </c>
      <c r="L1096" t="s">
        <v>1921</v>
      </c>
    </row>
    <row r="1097" spans="1:12" x14ac:dyDescent="0.35">
      <c r="A1097" t="s">
        <v>1106</v>
      </c>
      <c r="B1097" s="5">
        <v>46603</v>
      </c>
      <c r="C1097" t="s">
        <v>1216</v>
      </c>
      <c r="D1097" t="s">
        <v>1241</v>
      </c>
      <c r="E1097" t="s">
        <v>1873</v>
      </c>
      <c r="F1097" t="s">
        <v>1902</v>
      </c>
      <c r="G1097" t="s">
        <v>1907</v>
      </c>
      <c r="H1097" t="s">
        <v>1917</v>
      </c>
      <c r="I1097" s="4">
        <v>352</v>
      </c>
      <c r="J1097" s="3">
        <v>54</v>
      </c>
      <c r="K1097" s="3">
        <f>Table1[[#This Row],[Quantity Sold]]*Table1[[#This Row],[Unit Price (INR)]]</f>
        <v>19008</v>
      </c>
      <c r="L1097" t="s">
        <v>1920</v>
      </c>
    </row>
    <row r="1098" spans="1:12" x14ac:dyDescent="0.35">
      <c r="A1098" t="s">
        <v>1107</v>
      </c>
      <c r="B1098" s="5">
        <v>46604</v>
      </c>
      <c r="C1098" t="s">
        <v>1214</v>
      </c>
      <c r="D1098" t="s">
        <v>1228</v>
      </c>
      <c r="E1098" t="s">
        <v>1335</v>
      </c>
      <c r="F1098" t="s">
        <v>1905</v>
      </c>
      <c r="G1098" t="s">
        <v>1909</v>
      </c>
      <c r="H1098" t="s">
        <v>1913</v>
      </c>
      <c r="I1098" s="4">
        <v>319</v>
      </c>
      <c r="J1098" s="3">
        <v>459</v>
      </c>
      <c r="K1098" s="3">
        <f>Table1[[#This Row],[Quantity Sold]]*Table1[[#This Row],[Unit Price (INR)]]</f>
        <v>146421</v>
      </c>
      <c r="L1098" t="s">
        <v>1920</v>
      </c>
    </row>
    <row r="1099" spans="1:12" x14ac:dyDescent="0.35">
      <c r="A1099" t="s">
        <v>1108</v>
      </c>
      <c r="B1099" s="5">
        <v>46605</v>
      </c>
      <c r="C1099" t="s">
        <v>1214</v>
      </c>
      <c r="D1099" t="s">
        <v>1222</v>
      </c>
      <c r="E1099" t="s">
        <v>1490</v>
      </c>
      <c r="F1099" t="s">
        <v>1904</v>
      </c>
      <c r="G1099" t="s">
        <v>1910</v>
      </c>
      <c r="H1099" t="s">
        <v>1918</v>
      </c>
      <c r="I1099" s="4">
        <v>159</v>
      </c>
      <c r="J1099" s="3">
        <v>463</v>
      </c>
      <c r="K1099" s="3">
        <f>Table1[[#This Row],[Quantity Sold]]*Table1[[#This Row],[Unit Price (INR)]]</f>
        <v>73617</v>
      </c>
      <c r="L1099" t="s">
        <v>1920</v>
      </c>
    </row>
    <row r="1100" spans="1:12" x14ac:dyDescent="0.35">
      <c r="A1100" t="s">
        <v>1109</v>
      </c>
      <c r="B1100" s="5">
        <v>46606</v>
      </c>
      <c r="C1100" t="s">
        <v>1211</v>
      </c>
      <c r="D1100" t="s">
        <v>1218</v>
      </c>
      <c r="E1100" t="s">
        <v>1369</v>
      </c>
      <c r="F1100" t="s">
        <v>1898</v>
      </c>
      <c r="G1100" t="s">
        <v>1911</v>
      </c>
      <c r="H1100" t="s">
        <v>1916</v>
      </c>
      <c r="I1100" s="4">
        <v>25</v>
      </c>
      <c r="J1100" s="3">
        <v>231</v>
      </c>
      <c r="K1100" s="3">
        <f>Table1[[#This Row],[Quantity Sold]]*Table1[[#This Row],[Unit Price (INR)]]</f>
        <v>5775</v>
      </c>
      <c r="L1100" t="s">
        <v>1921</v>
      </c>
    </row>
    <row r="1101" spans="1:12" x14ac:dyDescent="0.35">
      <c r="A1101" t="s">
        <v>1110</v>
      </c>
      <c r="B1101" s="5">
        <v>46607</v>
      </c>
      <c r="C1101" t="s">
        <v>1214</v>
      </c>
      <c r="D1101" t="s">
        <v>1228</v>
      </c>
      <c r="E1101" t="s">
        <v>1581</v>
      </c>
      <c r="F1101" t="s">
        <v>1903</v>
      </c>
      <c r="G1101" t="s">
        <v>1908</v>
      </c>
      <c r="H1101" t="s">
        <v>1915</v>
      </c>
      <c r="I1101" s="4">
        <v>37</v>
      </c>
      <c r="J1101" s="3">
        <v>62</v>
      </c>
      <c r="K1101" s="3">
        <f>Table1[[#This Row],[Quantity Sold]]*Table1[[#This Row],[Unit Price (INR)]]</f>
        <v>2294</v>
      </c>
      <c r="L1101" t="s">
        <v>1922</v>
      </c>
    </row>
    <row r="1102" spans="1:12" x14ac:dyDescent="0.35">
      <c r="A1102" t="s">
        <v>1111</v>
      </c>
      <c r="B1102" s="5">
        <v>46608</v>
      </c>
      <c r="C1102" t="s">
        <v>1211</v>
      </c>
      <c r="D1102" t="s">
        <v>1218</v>
      </c>
      <c r="E1102" t="s">
        <v>1386</v>
      </c>
      <c r="F1102" t="s">
        <v>1905</v>
      </c>
      <c r="G1102" t="s">
        <v>1910</v>
      </c>
      <c r="H1102" t="s">
        <v>1916</v>
      </c>
      <c r="I1102" s="4">
        <v>428</v>
      </c>
      <c r="J1102" s="3">
        <v>388</v>
      </c>
      <c r="K1102" s="3">
        <f>Table1[[#This Row],[Quantity Sold]]*Table1[[#This Row],[Unit Price (INR)]]</f>
        <v>166064</v>
      </c>
      <c r="L1102" t="s">
        <v>1922</v>
      </c>
    </row>
    <row r="1103" spans="1:12" x14ac:dyDescent="0.35">
      <c r="A1103" t="s">
        <v>1112</v>
      </c>
      <c r="B1103" s="5">
        <v>46609</v>
      </c>
      <c r="C1103" t="s">
        <v>1211</v>
      </c>
      <c r="D1103" t="s">
        <v>1224</v>
      </c>
      <c r="E1103" t="s">
        <v>1311</v>
      </c>
      <c r="F1103" t="s">
        <v>1906</v>
      </c>
      <c r="G1103" t="s">
        <v>1910</v>
      </c>
      <c r="H1103" t="s">
        <v>1918</v>
      </c>
      <c r="I1103" s="4">
        <v>453</v>
      </c>
      <c r="J1103" s="3">
        <v>334</v>
      </c>
      <c r="K1103" s="3">
        <f>Table1[[#This Row],[Quantity Sold]]*Table1[[#This Row],[Unit Price (INR)]]</f>
        <v>151302</v>
      </c>
      <c r="L1103" t="s">
        <v>1922</v>
      </c>
    </row>
    <row r="1104" spans="1:12" x14ac:dyDescent="0.35">
      <c r="A1104" t="s">
        <v>1113</v>
      </c>
      <c r="B1104" s="5">
        <v>46610</v>
      </c>
      <c r="C1104" t="s">
        <v>1216</v>
      </c>
      <c r="D1104" t="s">
        <v>1232</v>
      </c>
      <c r="E1104" t="s">
        <v>1429</v>
      </c>
      <c r="F1104" t="s">
        <v>1906</v>
      </c>
      <c r="G1104" t="s">
        <v>1907</v>
      </c>
      <c r="H1104" t="s">
        <v>1918</v>
      </c>
      <c r="I1104" s="4">
        <v>182</v>
      </c>
      <c r="J1104" s="3">
        <v>308</v>
      </c>
      <c r="K1104" s="3">
        <f>Table1[[#This Row],[Quantity Sold]]*Table1[[#This Row],[Unit Price (INR)]]</f>
        <v>56056</v>
      </c>
      <c r="L1104" t="s">
        <v>1923</v>
      </c>
    </row>
    <row r="1105" spans="1:12" x14ac:dyDescent="0.35">
      <c r="A1105" t="s">
        <v>1114</v>
      </c>
      <c r="B1105" s="5">
        <v>46611</v>
      </c>
      <c r="C1105" t="s">
        <v>1214</v>
      </c>
      <c r="D1105" t="s">
        <v>1222</v>
      </c>
      <c r="E1105" t="s">
        <v>1440</v>
      </c>
      <c r="F1105" t="s">
        <v>1906</v>
      </c>
      <c r="G1105" t="s">
        <v>1907</v>
      </c>
      <c r="H1105" t="s">
        <v>1915</v>
      </c>
      <c r="I1105" s="4">
        <v>55</v>
      </c>
      <c r="J1105" s="3">
        <v>139</v>
      </c>
      <c r="K1105" s="3">
        <f>Table1[[#This Row],[Quantity Sold]]*Table1[[#This Row],[Unit Price (INR)]]</f>
        <v>7645</v>
      </c>
      <c r="L1105" t="s">
        <v>1923</v>
      </c>
    </row>
    <row r="1106" spans="1:12" x14ac:dyDescent="0.35">
      <c r="A1106" t="s">
        <v>1115</v>
      </c>
      <c r="B1106" s="5">
        <v>46612</v>
      </c>
      <c r="C1106" t="s">
        <v>1211</v>
      </c>
      <c r="D1106" t="s">
        <v>1218</v>
      </c>
      <c r="E1106" t="s">
        <v>1575</v>
      </c>
      <c r="F1106" t="s">
        <v>1904</v>
      </c>
      <c r="G1106" t="s">
        <v>1907</v>
      </c>
      <c r="H1106" t="s">
        <v>1917</v>
      </c>
      <c r="I1106" s="4">
        <v>337</v>
      </c>
      <c r="J1106" s="3">
        <v>153</v>
      </c>
      <c r="K1106" s="3">
        <f>Table1[[#This Row],[Quantity Sold]]*Table1[[#This Row],[Unit Price (INR)]]</f>
        <v>51561</v>
      </c>
      <c r="L1106" t="s">
        <v>1923</v>
      </c>
    </row>
    <row r="1107" spans="1:12" x14ac:dyDescent="0.35">
      <c r="A1107" t="s">
        <v>1116</v>
      </c>
      <c r="B1107" s="5">
        <v>46613</v>
      </c>
      <c r="C1107" t="s">
        <v>1212</v>
      </c>
      <c r="D1107" t="s">
        <v>1233</v>
      </c>
      <c r="E1107" t="s">
        <v>1755</v>
      </c>
      <c r="F1107" t="s">
        <v>1902</v>
      </c>
      <c r="G1107" t="s">
        <v>1911</v>
      </c>
      <c r="H1107" t="s">
        <v>1918</v>
      </c>
      <c r="I1107" s="4">
        <v>245</v>
      </c>
      <c r="J1107" s="3">
        <v>428</v>
      </c>
      <c r="K1107" s="3">
        <f>Table1[[#This Row],[Quantity Sold]]*Table1[[#This Row],[Unit Price (INR)]]</f>
        <v>104860</v>
      </c>
      <c r="L1107" t="s">
        <v>1921</v>
      </c>
    </row>
    <row r="1108" spans="1:12" x14ac:dyDescent="0.35">
      <c r="A1108" t="s">
        <v>1117</v>
      </c>
      <c r="B1108" s="5">
        <v>46614</v>
      </c>
      <c r="C1108" t="s">
        <v>1213</v>
      </c>
      <c r="D1108" t="s">
        <v>1244</v>
      </c>
      <c r="E1108" t="s">
        <v>1452</v>
      </c>
      <c r="F1108" t="s">
        <v>1898</v>
      </c>
      <c r="G1108" t="s">
        <v>1907</v>
      </c>
      <c r="H1108" t="s">
        <v>1914</v>
      </c>
      <c r="I1108" s="4">
        <v>448</v>
      </c>
      <c r="J1108" s="3">
        <v>235</v>
      </c>
      <c r="K1108" s="3">
        <f>Table1[[#This Row],[Quantity Sold]]*Table1[[#This Row],[Unit Price (INR)]]</f>
        <v>105280</v>
      </c>
      <c r="L1108" t="s">
        <v>1920</v>
      </c>
    </row>
    <row r="1109" spans="1:12" x14ac:dyDescent="0.35">
      <c r="A1109" t="s">
        <v>1118</v>
      </c>
      <c r="B1109" s="5">
        <v>46615</v>
      </c>
      <c r="C1109" t="s">
        <v>1215</v>
      </c>
      <c r="D1109" t="s">
        <v>1242</v>
      </c>
      <c r="E1109" t="s">
        <v>1801</v>
      </c>
      <c r="F1109" t="s">
        <v>1906</v>
      </c>
      <c r="G1109" t="s">
        <v>1910</v>
      </c>
      <c r="H1109" t="s">
        <v>1913</v>
      </c>
      <c r="I1109" s="4">
        <v>223</v>
      </c>
      <c r="J1109" s="3">
        <v>299</v>
      </c>
      <c r="K1109" s="3">
        <f>Table1[[#This Row],[Quantity Sold]]*Table1[[#This Row],[Unit Price (INR)]]</f>
        <v>66677</v>
      </c>
      <c r="L1109" t="s">
        <v>1920</v>
      </c>
    </row>
    <row r="1110" spans="1:12" x14ac:dyDescent="0.35">
      <c r="A1110" t="s">
        <v>1119</v>
      </c>
      <c r="B1110" s="5">
        <v>46616</v>
      </c>
      <c r="C1110" t="s">
        <v>1215</v>
      </c>
      <c r="D1110" t="s">
        <v>1231</v>
      </c>
      <c r="E1110" t="s">
        <v>1874</v>
      </c>
      <c r="F1110" t="s">
        <v>1900</v>
      </c>
      <c r="G1110" t="s">
        <v>1907</v>
      </c>
      <c r="H1110" t="s">
        <v>1913</v>
      </c>
      <c r="I1110" s="4">
        <v>94</v>
      </c>
      <c r="J1110" s="3">
        <v>304</v>
      </c>
      <c r="K1110" s="3">
        <f>Table1[[#This Row],[Quantity Sold]]*Table1[[#This Row],[Unit Price (INR)]]</f>
        <v>28576</v>
      </c>
      <c r="L1110" t="s">
        <v>1921</v>
      </c>
    </row>
    <row r="1111" spans="1:12" x14ac:dyDescent="0.35">
      <c r="A1111" t="s">
        <v>1120</v>
      </c>
      <c r="B1111" s="5">
        <v>46617</v>
      </c>
      <c r="C1111" t="s">
        <v>1216</v>
      </c>
      <c r="D1111" t="s">
        <v>1241</v>
      </c>
      <c r="E1111" t="s">
        <v>1369</v>
      </c>
      <c r="F1111" t="s">
        <v>1903</v>
      </c>
      <c r="G1111" t="s">
        <v>1909</v>
      </c>
      <c r="H1111" t="s">
        <v>1919</v>
      </c>
      <c r="I1111" s="4">
        <v>291</v>
      </c>
      <c r="J1111" s="3">
        <v>125</v>
      </c>
      <c r="K1111" s="3">
        <f>Table1[[#This Row],[Quantity Sold]]*Table1[[#This Row],[Unit Price (INR)]]</f>
        <v>36375</v>
      </c>
      <c r="L1111" t="s">
        <v>1921</v>
      </c>
    </row>
    <row r="1112" spans="1:12" x14ac:dyDescent="0.35">
      <c r="A1112" t="s">
        <v>1121</v>
      </c>
      <c r="B1112" s="5">
        <v>46618</v>
      </c>
      <c r="C1112" t="s">
        <v>1214</v>
      </c>
      <c r="D1112" t="s">
        <v>1227</v>
      </c>
      <c r="E1112" t="s">
        <v>1300</v>
      </c>
      <c r="F1112" t="s">
        <v>1899</v>
      </c>
      <c r="G1112" t="s">
        <v>1907</v>
      </c>
      <c r="H1112" t="s">
        <v>1912</v>
      </c>
      <c r="I1112" s="4">
        <v>241</v>
      </c>
      <c r="J1112" s="3">
        <v>435</v>
      </c>
      <c r="K1112" s="3">
        <f>Table1[[#This Row],[Quantity Sold]]*Table1[[#This Row],[Unit Price (INR)]]</f>
        <v>104835</v>
      </c>
      <c r="L1112" t="s">
        <v>1922</v>
      </c>
    </row>
    <row r="1113" spans="1:12" x14ac:dyDescent="0.35">
      <c r="A1113" t="s">
        <v>1122</v>
      </c>
      <c r="B1113" s="5">
        <v>46619</v>
      </c>
      <c r="C1113" t="s">
        <v>1214</v>
      </c>
      <c r="D1113" t="s">
        <v>1226</v>
      </c>
      <c r="E1113" t="s">
        <v>1875</v>
      </c>
      <c r="F1113" t="s">
        <v>1900</v>
      </c>
      <c r="G1113" t="s">
        <v>1911</v>
      </c>
      <c r="H1113" t="s">
        <v>1918</v>
      </c>
      <c r="I1113" s="4">
        <v>94</v>
      </c>
      <c r="J1113" s="3">
        <v>157</v>
      </c>
      <c r="K1113" s="3">
        <f>Table1[[#This Row],[Quantity Sold]]*Table1[[#This Row],[Unit Price (INR)]]</f>
        <v>14758</v>
      </c>
      <c r="L1113" t="s">
        <v>1922</v>
      </c>
    </row>
    <row r="1114" spans="1:12" x14ac:dyDescent="0.35">
      <c r="A1114" t="s">
        <v>1123</v>
      </c>
      <c r="B1114" s="5">
        <v>46620</v>
      </c>
      <c r="C1114" t="s">
        <v>1211</v>
      </c>
      <c r="D1114" t="s">
        <v>1224</v>
      </c>
      <c r="E1114" t="s">
        <v>1395</v>
      </c>
      <c r="F1114" t="s">
        <v>1898</v>
      </c>
      <c r="G1114" t="s">
        <v>1909</v>
      </c>
      <c r="H1114" t="s">
        <v>1918</v>
      </c>
      <c r="I1114" s="4">
        <v>418</v>
      </c>
      <c r="J1114" s="3">
        <v>205</v>
      </c>
      <c r="K1114" s="3">
        <f>Table1[[#This Row],[Quantity Sold]]*Table1[[#This Row],[Unit Price (INR)]]</f>
        <v>85690</v>
      </c>
      <c r="L1114" t="s">
        <v>1923</v>
      </c>
    </row>
    <row r="1115" spans="1:12" x14ac:dyDescent="0.35">
      <c r="A1115" t="s">
        <v>1124</v>
      </c>
      <c r="B1115" s="5">
        <v>46621</v>
      </c>
      <c r="C1115" t="s">
        <v>1217</v>
      </c>
      <c r="D1115" t="s">
        <v>1246</v>
      </c>
      <c r="E1115" t="s">
        <v>1876</v>
      </c>
      <c r="F1115" t="s">
        <v>1904</v>
      </c>
      <c r="G1115" t="s">
        <v>1910</v>
      </c>
      <c r="H1115" t="s">
        <v>1914</v>
      </c>
      <c r="I1115" s="4">
        <v>498</v>
      </c>
      <c r="J1115" s="3">
        <v>131</v>
      </c>
      <c r="K1115" s="3">
        <f>Table1[[#This Row],[Quantity Sold]]*Table1[[#This Row],[Unit Price (INR)]]</f>
        <v>65238</v>
      </c>
      <c r="L1115" t="s">
        <v>1923</v>
      </c>
    </row>
    <row r="1116" spans="1:12" x14ac:dyDescent="0.35">
      <c r="A1116" t="s">
        <v>1125</v>
      </c>
      <c r="B1116" s="5">
        <v>46622</v>
      </c>
      <c r="C1116" t="s">
        <v>1211</v>
      </c>
      <c r="D1116" t="s">
        <v>1224</v>
      </c>
      <c r="E1116" t="s">
        <v>1575</v>
      </c>
      <c r="F1116" t="s">
        <v>1898</v>
      </c>
      <c r="G1116" t="s">
        <v>1910</v>
      </c>
      <c r="H1116" t="s">
        <v>1916</v>
      </c>
      <c r="I1116" s="4">
        <v>74</v>
      </c>
      <c r="J1116" s="3">
        <v>126</v>
      </c>
      <c r="K1116" s="3">
        <f>Table1[[#This Row],[Quantity Sold]]*Table1[[#This Row],[Unit Price (INR)]]</f>
        <v>9324</v>
      </c>
      <c r="L1116" t="s">
        <v>1921</v>
      </c>
    </row>
    <row r="1117" spans="1:12" x14ac:dyDescent="0.35">
      <c r="A1117" t="s">
        <v>1126</v>
      </c>
      <c r="B1117" s="5">
        <v>46623</v>
      </c>
      <c r="C1117" t="s">
        <v>1213</v>
      </c>
      <c r="D1117" t="s">
        <v>1223</v>
      </c>
      <c r="E1117" t="s">
        <v>1877</v>
      </c>
      <c r="F1117" t="s">
        <v>1899</v>
      </c>
      <c r="G1117" t="s">
        <v>1908</v>
      </c>
      <c r="H1117" t="s">
        <v>1916</v>
      </c>
      <c r="I1117" s="4">
        <v>143</v>
      </c>
      <c r="J1117" s="3">
        <v>307</v>
      </c>
      <c r="K1117" s="3">
        <f>Table1[[#This Row],[Quantity Sold]]*Table1[[#This Row],[Unit Price (INR)]]</f>
        <v>43901</v>
      </c>
      <c r="L1117" t="s">
        <v>1923</v>
      </c>
    </row>
    <row r="1118" spans="1:12" x14ac:dyDescent="0.35">
      <c r="A1118" t="s">
        <v>1127</v>
      </c>
      <c r="B1118" s="5">
        <v>46624</v>
      </c>
      <c r="C1118" t="s">
        <v>1212</v>
      </c>
      <c r="D1118" t="s">
        <v>1240</v>
      </c>
      <c r="E1118" t="s">
        <v>1561</v>
      </c>
      <c r="F1118" t="s">
        <v>1903</v>
      </c>
      <c r="G1118" t="s">
        <v>1909</v>
      </c>
      <c r="H1118" t="s">
        <v>1913</v>
      </c>
      <c r="I1118" s="4">
        <v>160</v>
      </c>
      <c r="J1118" s="3">
        <v>176</v>
      </c>
      <c r="K1118" s="3">
        <f>Table1[[#This Row],[Quantity Sold]]*Table1[[#This Row],[Unit Price (INR)]]</f>
        <v>28160</v>
      </c>
      <c r="L1118" t="s">
        <v>1920</v>
      </c>
    </row>
    <row r="1119" spans="1:12" x14ac:dyDescent="0.35">
      <c r="A1119" t="s">
        <v>1128</v>
      </c>
      <c r="B1119" s="5">
        <v>46625</v>
      </c>
      <c r="C1119" t="s">
        <v>1215</v>
      </c>
      <c r="D1119" t="s">
        <v>1225</v>
      </c>
      <c r="E1119" t="s">
        <v>1397</v>
      </c>
      <c r="F1119" t="s">
        <v>1899</v>
      </c>
      <c r="G1119" t="s">
        <v>1908</v>
      </c>
      <c r="H1119" t="s">
        <v>1913</v>
      </c>
      <c r="I1119" s="4">
        <v>124</v>
      </c>
      <c r="J1119" s="3">
        <v>440</v>
      </c>
      <c r="K1119" s="3">
        <f>Table1[[#This Row],[Quantity Sold]]*Table1[[#This Row],[Unit Price (INR)]]</f>
        <v>54560</v>
      </c>
      <c r="L1119" t="s">
        <v>1921</v>
      </c>
    </row>
    <row r="1120" spans="1:12" x14ac:dyDescent="0.35">
      <c r="A1120" t="s">
        <v>1129</v>
      </c>
      <c r="B1120" s="5">
        <v>46626</v>
      </c>
      <c r="C1120" t="s">
        <v>1211</v>
      </c>
      <c r="D1120" t="s">
        <v>1218</v>
      </c>
      <c r="E1120" t="s">
        <v>1393</v>
      </c>
      <c r="F1120" t="s">
        <v>1901</v>
      </c>
      <c r="G1120" t="s">
        <v>1909</v>
      </c>
      <c r="H1120" t="s">
        <v>1917</v>
      </c>
      <c r="I1120" s="4">
        <v>73</v>
      </c>
      <c r="J1120" s="3">
        <v>331</v>
      </c>
      <c r="K1120" s="3">
        <f>Table1[[#This Row],[Quantity Sold]]*Table1[[#This Row],[Unit Price (INR)]]</f>
        <v>24163</v>
      </c>
      <c r="L1120" t="s">
        <v>1921</v>
      </c>
    </row>
    <row r="1121" spans="1:12" x14ac:dyDescent="0.35">
      <c r="A1121" t="s">
        <v>1130</v>
      </c>
      <c r="B1121" s="5">
        <v>46627</v>
      </c>
      <c r="C1121" t="s">
        <v>1217</v>
      </c>
      <c r="D1121" t="s">
        <v>1237</v>
      </c>
      <c r="E1121" t="s">
        <v>1555</v>
      </c>
      <c r="F1121" t="s">
        <v>1903</v>
      </c>
      <c r="G1121" t="s">
        <v>1909</v>
      </c>
      <c r="H1121" t="s">
        <v>1915</v>
      </c>
      <c r="I1121" s="4">
        <v>352</v>
      </c>
      <c r="J1121" s="3">
        <v>137</v>
      </c>
      <c r="K1121" s="3">
        <f>Table1[[#This Row],[Quantity Sold]]*Table1[[#This Row],[Unit Price (INR)]]</f>
        <v>48224</v>
      </c>
      <c r="L1121" t="s">
        <v>1920</v>
      </c>
    </row>
    <row r="1122" spans="1:12" x14ac:dyDescent="0.35">
      <c r="A1122" t="s">
        <v>1131</v>
      </c>
      <c r="B1122" s="5">
        <v>46628</v>
      </c>
      <c r="C1122" t="s">
        <v>1217</v>
      </c>
      <c r="D1122" t="s">
        <v>1238</v>
      </c>
      <c r="E1122" t="s">
        <v>1823</v>
      </c>
      <c r="F1122" t="s">
        <v>1898</v>
      </c>
      <c r="G1122" t="s">
        <v>1911</v>
      </c>
      <c r="H1122" t="s">
        <v>1912</v>
      </c>
      <c r="I1122" s="4">
        <v>436</v>
      </c>
      <c r="J1122" s="3">
        <v>253</v>
      </c>
      <c r="K1122" s="3">
        <f>Table1[[#This Row],[Quantity Sold]]*Table1[[#This Row],[Unit Price (INR)]]</f>
        <v>110308</v>
      </c>
      <c r="L1122" t="s">
        <v>1922</v>
      </c>
    </row>
    <row r="1123" spans="1:12" x14ac:dyDescent="0.35">
      <c r="A1123" t="s">
        <v>1132</v>
      </c>
      <c r="B1123" s="5">
        <v>46629</v>
      </c>
      <c r="C1123" t="s">
        <v>1211</v>
      </c>
      <c r="D1123" t="s">
        <v>1218</v>
      </c>
      <c r="E1123" t="s">
        <v>1678</v>
      </c>
      <c r="F1123" t="s">
        <v>1906</v>
      </c>
      <c r="G1123" t="s">
        <v>1908</v>
      </c>
      <c r="H1123" t="s">
        <v>1914</v>
      </c>
      <c r="I1123" s="4">
        <v>372</v>
      </c>
      <c r="J1123" s="3">
        <v>65</v>
      </c>
      <c r="K1123" s="3">
        <f>Table1[[#This Row],[Quantity Sold]]*Table1[[#This Row],[Unit Price (INR)]]</f>
        <v>24180</v>
      </c>
      <c r="L1123" t="s">
        <v>1922</v>
      </c>
    </row>
    <row r="1124" spans="1:12" x14ac:dyDescent="0.35">
      <c r="A1124" t="s">
        <v>1133</v>
      </c>
      <c r="B1124" s="5">
        <v>46630</v>
      </c>
      <c r="C1124" t="s">
        <v>1216</v>
      </c>
      <c r="D1124" t="s">
        <v>1241</v>
      </c>
      <c r="E1124" t="s">
        <v>1671</v>
      </c>
      <c r="F1124" t="s">
        <v>1898</v>
      </c>
      <c r="G1124" t="s">
        <v>1911</v>
      </c>
      <c r="H1124" t="s">
        <v>1915</v>
      </c>
      <c r="I1124" s="4">
        <v>416</v>
      </c>
      <c r="J1124" s="3">
        <v>200</v>
      </c>
      <c r="K1124" s="3">
        <f>Table1[[#This Row],[Quantity Sold]]*Table1[[#This Row],[Unit Price (INR)]]</f>
        <v>83200</v>
      </c>
      <c r="L1124" t="s">
        <v>1920</v>
      </c>
    </row>
    <row r="1125" spans="1:12" x14ac:dyDescent="0.35">
      <c r="A1125" t="s">
        <v>1134</v>
      </c>
      <c r="B1125" s="5">
        <v>46631</v>
      </c>
      <c r="C1125" t="s">
        <v>1215</v>
      </c>
      <c r="D1125" t="s">
        <v>1236</v>
      </c>
      <c r="E1125" t="s">
        <v>1566</v>
      </c>
      <c r="F1125" t="s">
        <v>1898</v>
      </c>
      <c r="G1125" t="s">
        <v>1909</v>
      </c>
      <c r="H1125" t="s">
        <v>1915</v>
      </c>
      <c r="I1125" s="4">
        <v>361</v>
      </c>
      <c r="J1125" s="3">
        <v>473</v>
      </c>
      <c r="K1125" s="3">
        <f>Table1[[#This Row],[Quantity Sold]]*Table1[[#This Row],[Unit Price (INR)]]</f>
        <v>170753</v>
      </c>
      <c r="L1125" t="s">
        <v>1920</v>
      </c>
    </row>
    <row r="1126" spans="1:12" x14ac:dyDescent="0.35">
      <c r="A1126" t="s">
        <v>1135</v>
      </c>
      <c r="B1126" s="5">
        <v>46632</v>
      </c>
      <c r="C1126" t="s">
        <v>1216</v>
      </c>
      <c r="D1126" t="s">
        <v>1232</v>
      </c>
      <c r="E1126" t="s">
        <v>1630</v>
      </c>
      <c r="F1126" t="s">
        <v>1903</v>
      </c>
      <c r="G1126" t="s">
        <v>1910</v>
      </c>
      <c r="H1126" t="s">
        <v>1919</v>
      </c>
      <c r="I1126" s="4">
        <v>167</v>
      </c>
      <c r="J1126" s="3">
        <v>303</v>
      </c>
      <c r="K1126" s="3">
        <f>Table1[[#This Row],[Quantity Sold]]*Table1[[#This Row],[Unit Price (INR)]]</f>
        <v>50601</v>
      </c>
      <c r="L1126" t="s">
        <v>1923</v>
      </c>
    </row>
    <row r="1127" spans="1:12" x14ac:dyDescent="0.35">
      <c r="A1127" t="s">
        <v>1136</v>
      </c>
      <c r="B1127" s="5">
        <v>46633</v>
      </c>
      <c r="C1127" t="s">
        <v>1212</v>
      </c>
      <c r="D1127" t="s">
        <v>1233</v>
      </c>
      <c r="E1127" t="s">
        <v>1878</v>
      </c>
      <c r="F1127" t="s">
        <v>1901</v>
      </c>
      <c r="G1127" t="s">
        <v>1909</v>
      </c>
      <c r="H1127" t="s">
        <v>1915</v>
      </c>
      <c r="I1127" s="4">
        <v>86</v>
      </c>
      <c r="J1127" s="3">
        <v>237</v>
      </c>
      <c r="K1127" s="3">
        <f>Table1[[#This Row],[Quantity Sold]]*Table1[[#This Row],[Unit Price (INR)]]</f>
        <v>20382</v>
      </c>
      <c r="L1127" t="s">
        <v>1921</v>
      </c>
    </row>
    <row r="1128" spans="1:12" x14ac:dyDescent="0.35">
      <c r="A1128" t="s">
        <v>1137</v>
      </c>
      <c r="B1128" s="5">
        <v>46634</v>
      </c>
      <c r="C1128" t="s">
        <v>1217</v>
      </c>
      <c r="D1128" t="s">
        <v>1245</v>
      </c>
      <c r="E1128" t="s">
        <v>1879</v>
      </c>
      <c r="F1128" t="s">
        <v>1898</v>
      </c>
      <c r="G1128" t="s">
        <v>1911</v>
      </c>
      <c r="H1128" t="s">
        <v>1919</v>
      </c>
      <c r="I1128" s="4">
        <v>155</v>
      </c>
      <c r="J1128" s="3">
        <v>378</v>
      </c>
      <c r="K1128" s="3">
        <f>Table1[[#This Row],[Quantity Sold]]*Table1[[#This Row],[Unit Price (INR)]]</f>
        <v>58590</v>
      </c>
      <c r="L1128" t="s">
        <v>1923</v>
      </c>
    </row>
    <row r="1129" spans="1:12" x14ac:dyDescent="0.35">
      <c r="A1129" t="s">
        <v>1138</v>
      </c>
      <c r="B1129" s="5">
        <v>46635</v>
      </c>
      <c r="C1129" t="s">
        <v>1217</v>
      </c>
      <c r="D1129" t="s">
        <v>1245</v>
      </c>
      <c r="E1129" t="s">
        <v>1531</v>
      </c>
      <c r="F1129" t="s">
        <v>1900</v>
      </c>
      <c r="G1129" t="s">
        <v>1908</v>
      </c>
      <c r="H1129" t="s">
        <v>1915</v>
      </c>
      <c r="I1129" s="4">
        <v>352</v>
      </c>
      <c r="J1129" s="3">
        <v>81</v>
      </c>
      <c r="K1129" s="3">
        <f>Table1[[#This Row],[Quantity Sold]]*Table1[[#This Row],[Unit Price (INR)]]</f>
        <v>28512</v>
      </c>
      <c r="L1129" t="s">
        <v>1920</v>
      </c>
    </row>
    <row r="1130" spans="1:12" x14ac:dyDescent="0.35">
      <c r="A1130" t="s">
        <v>1139</v>
      </c>
      <c r="B1130" s="5">
        <v>46636</v>
      </c>
      <c r="C1130" t="s">
        <v>1213</v>
      </c>
      <c r="D1130" t="s">
        <v>1220</v>
      </c>
      <c r="E1130" t="s">
        <v>1342</v>
      </c>
      <c r="F1130" t="s">
        <v>1905</v>
      </c>
      <c r="G1130" t="s">
        <v>1908</v>
      </c>
      <c r="H1130" t="s">
        <v>1914</v>
      </c>
      <c r="I1130" s="4">
        <v>472</v>
      </c>
      <c r="J1130" s="3">
        <v>320</v>
      </c>
      <c r="K1130" s="3">
        <f>Table1[[#This Row],[Quantity Sold]]*Table1[[#This Row],[Unit Price (INR)]]</f>
        <v>151040</v>
      </c>
      <c r="L1130" t="s">
        <v>1923</v>
      </c>
    </row>
    <row r="1131" spans="1:12" x14ac:dyDescent="0.35">
      <c r="A1131" t="s">
        <v>1140</v>
      </c>
      <c r="B1131" s="5">
        <v>46637</v>
      </c>
      <c r="C1131" t="s">
        <v>1212</v>
      </c>
      <c r="D1131" t="s">
        <v>1229</v>
      </c>
      <c r="E1131" t="s">
        <v>1589</v>
      </c>
      <c r="F1131" t="s">
        <v>1897</v>
      </c>
      <c r="G1131" t="s">
        <v>1911</v>
      </c>
      <c r="H1131" t="s">
        <v>1919</v>
      </c>
      <c r="I1131" s="4">
        <v>234</v>
      </c>
      <c r="J1131" s="3">
        <v>446</v>
      </c>
      <c r="K1131" s="3">
        <f>Table1[[#This Row],[Quantity Sold]]*Table1[[#This Row],[Unit Price (INR)]]</f>
        <v>104364</v>
      </c>
      <c r="L1131" t="s">
        <v>1920</v>
      </c>
    </row>
    <row r="1132" spans="1:12" x14ac:dyDescent="0.35">
      <c r="A1132" t="s">
        <v>1141</v>
      </c>
      <c r="B1132" s="5">
        <v>46638</v>
      </c>
      <c r="C1132" t="s">
        <v>1217</v>
      </c>
      <c r="D1132" t="s">
        <v>1238</v>
      </c>
      <c r="E1132" t="s">
        <v>1770</v>
      </c>
      <c r="F1132" t="s">
        <v>1897</v>
      </c>
      <c r="G1132" t="s">
        <v>1908</v>
      </c>
      <c r="H1132" t="s">
        <v>1916</v>
      </c>
      <c r="I1132" s="4">
        <v>414</v>
      </c>
      <c r="J1132" s="3">
        <v>54</v>
      </c>
      <c r="K1132" s="3">
        <f>Table1[[#This Row],[Quantity Sold]]*Table1[[#This Row],[Unit Price (INR)]]</f>
        <v>22356</v>
      </c>
      <c r="L1132" t="s">
        <v>1923</v>
      </c>
    </row>
    <row r="1133" spans="1:12" x14ac:dyDescent="0.35">
      <c r="A1133" t="s">
        <v>1142</v>
      </c>
      <c r="B1133" s="5">
        <v>46639</v>
      </c>
      <c r="C1133" t="s">
        <v>1212</v>
      </c>
      <c r="D1133" t="s">
        <v>1233</v>
      </c>
      <c r="E1133" t="s">
        <v>1789</v>
      </c>
      <c r="F1133" t="s">
        <v>1898</v>
      </c>
      <c r="G1133" t="s">
        <v>1907</v>
      </c>
      <c r="H1133" t="s">
        <v>1919</v>
      </c>
      <c r="I1133" s="4">
        <v>322</v>
      </c>
      <c r="J1133" s="3">
        <v>379</v>
      </c>
      <c r="K1133" s="3">
        <f>Table1[[#This Row],[Quantity Sold]]*Table1[[#This Row],[Unit Price (INR)]]</f>
        <v>122038</v>
      </c>
      <c r="L1133" t="s">
        <v>1923</v>
      </c>
    </row>
    <row r="1134" spans="1:12" x14ac:dyDescent="0.35">
      <c r="A1134" t="s">
        <v>1143</v>
      </c>
      <c r="B1134" s="5">
        <v>46640</v>
      </c>
      <c r="C1134" t="s">
        <v>1215</v>
      </c>
      <c r="D1134" t="s">
        <v>1243</v>
      </c>
      <c r="E1134" t="s">
        <v>1322</v>
      </c>
      <c r="F1134" t="s">
        <v>1900</v>
      </c>
      <c r="G1134" t="s">
        <v>1910</v>
      </c>
      <c r="H1134" t="s">
        <v>1919</v>
      </c>
      <c r="I1134" s="4">
        <v>112</v>
      </c>
      <c r="J1134" s="3">
        <v>357</v>
      </c>
      <c r="K1134" s="3">
        <f>Table1[[#This Row],[Quantity Sold]]*Table1[[#This Row],[Unit Price (INR)]]</f>
        <v>39984</v>
      </c>
      <c r="L1134" t="s">
        <v>1922</v>
      </c>
    </row>
    <row r="1135" spans="1:12" x14ac:dyDescent="0.35">
      <c r="A1135" t="s">
        <v>1144</v>
      </c>
      <c r="B1135" s="5">
        <v>46641</v>
      </c>
      <c r="C1135" t="s">
        <v>1214</v>
      </c>
      <c r="D1135" t="s">
        <v>1227</v>
      </c>
      <c r="E1135" t="s">
        <v>1880</v>
      </c>
      <c r="F1135" t="s">
        <v>1906</v>
      </c>
      <c r="G1135" t="s">
        <v>1910</v>
      </c>
      <c r="H1135" t="s">
        <v>1914</v>
      </c>
      <c r="I1135" s="4">
        <v>416</v>
      </c>
      <c r="J1135" s="3">
        <v>382</v>
      </c>
      <c r="K1135" s="3">
        <f>Table1[[#This Row],[Quantity Sold]]*Table1[[#This Row],[Unit Price (INR)]]</f>
        <v>158912</v>
      </c>
      <c r="L1135" t="s">
        <v>1920</v>
      </c>
    </row>
    <row r="1136" spans="1:12" x14ac:dyDescent="0.35">
      <c r="A1136" t="s">
        <v>1145</v>
      </c>
      <c r="B1136" s="5">
        <v>46642</v>
      </c>
      <c r="C1136" t="s">
        <v>1217</v>
      </c>
      <c r="D1136" t="s">
        <v>1237</v>
      </c>
      <c r="E1136" t="s">
        <v>1781</v>
      </c>
      <c r="F1136" t="s">
        <v>1904</v>
      </c>
      <c r="G1136" t="s">
        <v>1910</v>
      </c>
      <c r="H1136" t="s">
        <v>1914</v>
      </c>
      <c r="I1136" s="4">
        <v>356</v>
      </c>
      <c r="J1136" s="3">
        <v>218</v>
      </c>
      <c r="K1136" s="3">
        <f>Table1[[#This Row],[Quantity Sold]]*Table1[[#This Row],[Unit Price (INR)]]</f>
        <v>77608</v>
      </c>
      <c r="L1136" t="s">
        <v>1923</v>
      </c>
    </row>
    <row r="1137" spans="1:12" x14ac:dyDescent="0.35">
      <c r="A1137" t="s">
        <v>1146</v>
      </c>
      <c r="B1137" s="5">
        <v>46643</v>
      </c>
      <c r="C1137" t="s">
        <v>1213</v>
      </c>
      <c r="D1137" t="s">
        <v>1234</v>
      </c>
      <c r="E1137" t="s">
        <v>1857</v>
      </c>
      <c r="F1137" t="s">
        <v>1904</v>
      </c>
      <c r="G1137" t="s">
        <v>1908</v>
      </c>
      <c r="H1137" t="s">
        <v>1919</v>
      </c>
      <c r="I1137" s="4">
        <v>310</v>
      </c>
      <c r="J1137" s="3">
        <v>230</v>
      </c>
      <c r="K1137" s="3">
        <f>Table1[[#This Row],[Quantity Sold]]*Table1[[#This Row],[Unit Price (INR)]]</f>
        <v>71300</v>
      </c>
      <c r="L1137" t="s">
        <v>1921</v>
      </c>
    </row>
    <row r="1138" spans="1:12" x14ac:dyDescent="0.35">
      <c r="A1138" t="s">
        <v>1147</v>
      </c>
      <c r="B1138" s="5">
        <v>46644</v>
      </c>
      <c r="C1138" t="s">
        <v>1215</v>
      </c>
      <c r="D1138" t="s">
        <v>1243</v>
      </c>
      <c r="E1138" t="s">
        <v>1881</v>
      </c>
      <c r="F1138" t="s">
        <v>1903</v>
      </c>
      <c r="G1138" t="s">
        <v>1908</v>
      </c>
      <c r="H1138" t="s">
        <v>1912</v>
      </c>
      <c r="I1138" s="4">
        <v>437</v>
      </c>
      <c r="J1138" s="3">
        <v>415</v>
      </c>
      <c r="K1138" s="3">
        <f>Table1[[#This Row],[Quantity Sold]]*Table1[[#This Row],[Unit Price (INR)]]</f>
        <v>181355</v>
      </c>
      <c r="L1138" t="s">
        <v>1923</v>
      </c>
    </row>
    <row r="1139" spans="1:12" x14ac:dyDescent="0.35">
      <c r="A1139" t="s">
        <v>1148</v>
      </c>
      <c r="B1139" s="5">
        <v>46645</v>
      </c>
      <c r="C1139" t="s">
        <v>1211</v>
      </c>
      <c r="D1139" t="s">
        <v>1224</v>
      </c>
      <c r="E1139" t="s">
        <v>1882</v>
      </c>
      <c r="F1139" t="s">
        <v>1897</v>
      </c>
      <c r="G1139" t="s">
        <v>1909</v>
      </c>
      <c r="H1139" t="s">
        <v>1918</v>
      </c>
      <c r="I1139" s="4">
        <v>475</v>
      </c>
      <c r="J1139" s="3">
        <v>227</v>
      </c>
      <c r="K1139" s="3">
        <f>Table1[[#This Row],[Quantity Sold]]*Table1[[#This Row],[Unit Price (INR)]]</f>
        <v>107825</v>
      </c>
      <c r="L1139" t="s">
        <v>1923</v>
      </c>
    </row>
    <row r="1140" spans="1:12" x14ac:dyDescent="0.35">
      <c r="A1140" t="s">
        <v>1149</v>
      </c>
      <c r="B1140" s="5">
        <v>46646</v>
      </c>
      <c r="C1140" t="s">
        <v>1212</v>
      </c>
      <c r="D1140" t="s">
        <v>1233</v>
      </c>
      <c r="E1140" t="s">
        <v>1776</v>
      </c>
      <c r="F1140" t="s">
        <v>1898</v>
      </c>
      <c r="G1140" t="s">
        <v>1909</v>
      </c>
      <c r="H1140" t="s">
        <v>1912</v>
      </c>
      <c r="I1140" s="4">
        <v>97</v>
      </c>
      <c r="J1140" s="3">
        <v>192</v>
      </c>
      <c r="K1140" s="3">
        <f>Table1[[#This Row],[Quantity Sold]]*Table1[[#This Row],[Unit Price (INR)]]</f>
        <v>18624</v>
      </c>
      <c r="L1140" t="s">
        <v>1921</v>
      </c>
    </row>
    <row r="1141" spans="1:12" x14ac:dyDescent="0.35">
      <c r="A1141" t="s">
        <v>1150</v>
      </c>
      <c r="B1141" s="5">
        <v>46647</v>
      </c>
      <c r="C1141" t="s">
        <v>1211</v>
      </c>
      <c r="D1141" t="s">
        <v>1221</v>
      </c>
      <c r="E1141" t="s">
        <v>1868</v>
      </c>
      <c r="F1141" t="s">
        <v>1904</v>
      </c>
      <c r="G1141" t="s">
        <v>1910</v>
      </c>
      <c r="H1141" t="s">
        <v>1914</v>
      </c>
      <c r="I1141" s="4">
        <v>380</v>
      </c>
      <c r="J1141" s="3">
        <v>411</v>
      </c>
      <c r="K1141" s="3">
        <f>Table1[[#This Row],[Quantity Sold]]*Table1[[#This Row],[Unit Price (INR)]]</f>
        <v>156180</v>
      </c>
      <c r="L1141" t="s">
        <v>1920</v>
      </c>
    </row>
    <row r="1142" spans="1:12" x14ac:dyDescent="0.35">
      <c r="A1142" t="s">
        <v>1151</v>
      </c>
      <c r="B1142" s="5">
        <v>46648</v>
      </c>
      <c r="C1142" t="s">
        <v>1216</v>
      </c>
      <c r="D1142" t="s">
        <v>1230</v>
      </c>
      <c r="E1142" t="s">
        <v>1619</v>
      </c>
      <c r="F1142" t="s">
        <v>1898</v>
      </c>
      <c r="G1142" t="s">
        <v>1907</v>
      </c>
      <c r="H1142" t="s">
        <v>1912</v>
      </c>
      <c r="I1142" s="4">
        <v>312</v>
      </c>
      <c r="J1142" s="3">
        <v>297</v>
      </c>
      <c r="K1142" s="3">
        <f>Table1[[#This Row],[Quantity Sold]]*Table1[[#This Row],[Unit Price (INR)]]</f>
        <v>92664</v>
      </c>
      <c r="L1142" t="s">
        <v>1922</v>
      </c>
    </row>
    <row r="1143" spans="1:12" x14ac:dyDescent="0.35">
      <c r="A1143" t="s">
        <v>1152</v>
      </c>
      <c r="B1143" s="5">
        <v>46649</v>
      </c>
      <c r="C1143" t="s">
        <v>1215</v>
      </c>
      <c r="D1143" t="s">
        <v>1236</v>
      </c>
      <c r="E1143" t="s">
        <v>1883</v>
      </c>
      <c r="F1143" t="s">
        <v>1903</v>
      </c>
      <c r="G1143" t="s">
        <v>1909</v>
      </c>
      <c r="H1143" t="s">
        <v>1912</v>
      </c>
      <c r="I1143" s="4">
        <v>177</v>
      </c>
      <c r="J1143" s="3">
        <v>176</v>
      </c>
      <c r="K1143" s="3">
        <f>Table1[[#This Row],[Quantity Sold]]*Table1[[#This Row],[Unit Price (INR)]]</f>
        <v>31152</v>
      </c>
      <c r="L1143" t="s">
        <v>1922</v>
      </c>
    </row>
    <row r="1144" spans="1:12" x14ac:dyDescent="0.35">
      <c r="A1144" t="s">
        <v>1153</v>
      </c>
      <c r="B1144" s="5">
        <v>46650</v>
      </c>
      <c r="C1144" t="s">
        <v>1211</v>
      </c>
      <c r="D1144" t="s">
        <v>1224</v>
      </c>
      <c r="E1144" t="s">
        <v>1653</v>
      </c>
      <c r="F1144" t="s">
        <v>1897</v>
      </c>
      <c r="G1144" t="s">
        <v>1909</v>
      </c>
      <c r="H1144" t="s">
        <v>1917</v>
      </c>
      <c r="I1144" s="4">
        <v>444</v>
      </c>
      <c r="J1144" s="3">
        <v>312</v>
      </c>
      <c r="K1144" s="3">
        <f>Table1[[#This Row],[Quantity Sold]]*Table1[[#This Row],[Unit Price (INR)]]</f>
        <v>138528</v>
      </c>
      <c r="L1144" t="s">
        <v>1922</v>
      </c>
    </row>
    <row r="1145" spans="1:12" x14ac:dyDescent="0.35">
      <c r="A1145" t="s">
        <v>1154</v>
      </c>
      <c r="B1145" s="5">
        <v>46651</v>
      </c>
      <c r="C1145" t="s">
        <v>1217</v>
      </c>
      <c r="D1145" t="s">
        <v>1245</v>
      </c>
      <c r="E1145" t="s">
        <v>1354</v>
      </c>
      <c r="F1145" t="s">
        <v>1899</v>
      </c>
      <c r="G1145" t="s">
        <v>1908</v>
      </c>
      <c r="H1145" t="s">
        <v>1917</v>
      </c>
      <c r="I1145" s="4">
        <v>179</v>
      </c>
      <c r="J1145" s="3">
        <v>89</v>
      </c>
      <c r="K1145" s="3">
        <f>Table1[[#This Row],[Quantity Sold]]*Table1[[#This Row],[Unit Price (INR)]]</f>
        <v>15931</v>
      </c>
      <c r="L1145" t="s">
        <v>1921</v>
      </c>
    </row>
    <row r="1146" spans="1:12" x14ac:dyDescent="0.35">
      <c r="A1146" t="s">
        <v>1155</v>
      </c>
      <c r="B1146" s="5">
        <v>46652</v>
      </c>
      <c r="C1146" t="s">
        <v>1212</v>
      </c>
      <c r="D1146" t="s">
        <v>1233</v>
      </c>
      <c r="E1146" t="s">
        <v>1556</v>
      </c>
      <c r="F1146" t="s">
        <v>1905</v>
      </c>
      <c r="G1146" t="s">
        <v>1907</v>
      </c>
      <c r="H1146" t="s">
        <v>1916</v>
      </c>
      <c r="I1146" s="4">
        <v>144</v>
      </c>
      <c r="J1146" s="3">
        <v>461</v>
      </c>
      <c r="K1146" s="3">
        <f>Table1[[#This Row],[Quantity Sold]]*Table1[[#This Row],[Unit Price (INR)]]</f>
        <v>66384</v>
      </c>
      <c r="L1146" t="s">
        <v>1923</v>
      </c>
    </row>
    <row r="1147" spans="1:12" x14ac:dyDescent="0.35">
      <c r="A1147" t="s">
        <v>1156</v>
      </c>
      <c r="B1147" s="5">
        <v>46653</v>
      </c>
      <c r="C1147" t="s">
        <v>1214</v>
      </c>
      <c r="D1147" t="s">
        <v>1228</v>
      </c>
      <c r="E1147" t="s">
        <v>1422</v>
      </c>
      <c r="F1147" t="s">
        <v>1905</v>
      </c>
      <c r="G1147" t="s">
        <v>1910</v>
      </c>
      <c r="H1147" t="s">
        <v>1915</v>
      </c>
      <c r="I1147" s="4">
        <v>59</v>
      </c>
      <c r="J1147" s="3">
        <v>465</v>
      </c>
      <c r="K1147" s="3">
        <f>Table1[[#This Row],[Quantity Sold]]*Table1[[#This Row],[Unit Price (INR)]]</f>
        <v>27435</v>
      </c>
      <c r="L1147" t="s">
        <v>1920</v>
      </c>
    </row>
    <row r="1148" spans="1:12" x14ac:dyDescent="0.35">
      <c r="A1148" t="s">
        <v>1157</v>
      </c>
      <c r="B1148" s="5">
        <v>46654</v>
      </c>
      <c r="C1148" t="s">
        <v>1215</v>
      </c>
      <c r="D1148" t="s">
        <v>1243</v>
      </c>
      <c r="E1148" t="s">
        <v>1577</v>
      </c>
      <c r="F1148" t="s">
        <v>1904</v>
      </c>
      <c r="G1148" t="s">
        <v>1909</v>
      </c>
      <c r="H1148" t="s">
        <v>1919</v>
      </c>
      <c r="I1148" s="4">
        <v>441</v>
      </c>
      <c r="J1148" s="3">
        <v>404</v>
      </c>
      <c r="K1148" s="3">
        <f>Table1[[#This Row],[Quantity Sold]]*Table1[[#This Row],[Unit Price (INR)]]</f>
        <v>178164</v>
      </c>
      <c r="L1148" t="s">
        <v>1923</v>
      </c>
    </row>
    <row r="1149" spans="1:12" x14ac:dyDescent="0.35">
      <c r="A1149" t="s">
        <v>1158</v>
      </c>
      <c r="B1149" s="5">
        <v>46655</v>
      </c>
      <c r="C1149" t="s">
        <v>1217</v>
      </c>
      <c r="D1149" t="s">
        <v>1238</v>
      </c>
      <c r="E1149" t="s">
        <v>1343</v>
      </c>
      <c r="F1149" t="s">
        <v>1905</v>
      </c>
      <c r="G1149" t="s">
        <v>1907</v>
      </c>
      <c r="H1149" t="s">
        <v>1918</v>
      </c>
      <c r="I1149" s="4">
        <v>349</v>
      </c>
      <c r="J1149" s="3">
        <v>304</v>
      </c>
      <c r="K1149" s="3">
        <f>Table1[[#This Row],[Quantity Sold]]*Table1[[#This Row],[Unit Price (INR)]]</f>
        <v>106096</v>
      </c>
      <c r="L1149" t="s">
        <v>1922</v>
      </c>
    </row>
    <row r="1150" spans="1:12" x14ac:dyDescent="0.35">
      <c r="A1150" t="s">
        <v>1159</v>
      </c>
      <c r="B1150" s="5">
        <v>46656</v>
      </c>
      <c r="C1150" t="s">
        <v>1213</v>
      </c>
      <c r="D1150" t="s">
        <v>1244</v>
      </c>
      <c r="E1150" t="s">
        <v>1392</v>
      </c>
      <c r="F1150" t="s">
        <v>1899</v>
      </c>
      <c r="G1150" t="s">
        <v>1907</v>
      </c>
      <c r="H1150" t="s">
        <v>1916</v>
      </c>
      <c r="I1150" s="4">
        <v>356</v>
      </c>
      <c r="J1150" s="3">
        <v>192</v>
      </c>
      <c r="K1150" s="3">
        <f>Table1[[#This Row],[Quantity Sold]]*Table1[[#This Row],[Unit Price (INR)]]</f>
        <v>68352</v>
      </c>
      <c r="L1150" t="s">
        <v>1923</v>
      </c>
    </row>
    <row r="1151" spans="1:12" x14ac:dyDescent="0.35">
      <c r="A1151" t="s">
        <v>1160</v>
      </c>
      <c r="B1151" s="5">
        <v>46657</v>
      </c>
      <c r="C1151" t="s">
        <v>1216</v>
      </c>
      <c r="D1151" t="s">
        <v>1230</v>
      </c>
      <c r="E1151" t="s">
        <v>1751</v>
      </c>
      <c r="F1151" t="s">
        <v>1898</v>
      </c>
      <c r="G1151" t="s">
        <v>1910</v>
      </c>
      <c r="H1151" t="s">
        <v>1919</v>
      </c>
      <c r="I1151" s="4">
        <v>143</v>
      </c>
      <c r="J1151" s="3">
        <v>289</v>
      </c>
      <c r="K1151" s="3">
        <f>Table1[[#This Row],[Quantity Sold]]*Table1[[#This Row],[Unit Price (INR)]]</f>
        <v>41327</v>
      </c>
      <c r="L1151" t="s">
        <v>1921</v>
      </c>
    </row>
    <row r="1152" spans="1:12" x14ac:dyDescent="0.35">
      <c r="A1152" t="s">
        <v>1161</v>
      </c>
      <c r="B1152" s="5">
        <v>46658</v>
      </c>
      <c r="C1152" t="s">
        <v>1212</v>
      </c>
      <c r="D1152" t="s">
        <v>1233</v>
      </c>
      <c r="E1152" t="s">
        <v>1795</v>
      </c>
      <c r="F1152" t="s">
        <v>1903</v>
      </c>
      <c r="G1152" t="s">
        <v>1907</v>
      </c>
      <c r="H1152" t="s">
        <v>1912</v>
      </c>
      <c r="I1152" s="4">
        <v>356</v>
      </c>
      <c r="J1152" s="3">
        <v>277</v>
      </c>
      <c r="K1152" s="3">
        <f>Table1[[#This Row],[Quantity Sold]]*Table1[[#This Row],[Unit Price (INR)]]</f>
        <v>98612</v>
      </c>
      <c r="L1152" t="s">
        <v>1921</v>
      </c>
    </row>
    <row r="1153" spans="1:12" x14ac:dyDescent="0.35">
      <c r="A1153" t="s">
        <v>1162</v>
      </c>
      <c r="B1153" s="5">
        <v>46659</v>
      </c>
      <c r="C1153" t="s">
        <v>1215</v>
      </c>
      <c r="D1153" t="s">
        <v>1242</v>
      </c>
      <c r="E1153" t="s">
        <v>1500</v>
      </c>
      <c r="F1153" t="s">
        <v>1899</v>
      </c>
      <c r="G1153" t="s">
        <v>1907</v>
      </c>
      <c r="H1153" t="s">
        <v>1914</v>
      </c>
      <c r="I1153" s="4">
        <v>146</v>
      </c>
      <c r="J1153" s="3">
        <v>390</v>
      </c>
      <c r="K1153" s="3">
        <f>Table1[[#This Row],[Quantity Sold]]*Table1[[#This Row],[Unit Price (INR)]]</f>
        <v>56940</v>
      </c>
      <c r="L1153" t="s">
        <v>1920</v>
      </c>
    </row>
    <row r="1154" spans="1:12" x14ac:dyDescent="0.35">
      <c r="A1154" t="s">
        <v>1163</v>
      </c>
      <c r="B1154" s="5">
        <v>46660</v>
      </c>
      <c r="C1154" t="s">
        <v>1215</v>
      </c>
      <c r="D1154" t="s">
        <v>1236</v>
      </c>
      <c r="E1154" t="s">
        <v>1884</v>
      </c>
      <c r="F1154" t="s">
        <v>1903</v>
      </c>
      <c r="G1154" t="s">
        <v>1907</v>
      </c>
      <c r="H1154" t="s">
        <v>1917</v>
      </c>
      <c r="I1154" s="4">
        <v>254</v>
      </c>
      <c r="J1154" s="3">
        <v>247</v>
      </c>
      <c r="K1154" s="3">
        <f>Table1[[#This Row],[Quantity Sold]]*Table1[[#This Row],[Unit Price (INR)]]</f>
        <v>62738</v>
      </c>
      <c r="L1154" t="s">
        <v>1920</v>
      </c>
    </row>
    <row r="1155" spans="1:12" x14ac:dyDescent="0.35">
      <c r="A1155" t="s">
        <v>1164</v>
      </c>
      <c r="B1155" s="5">
        <v>46661</v>
      </c>
      <c r="C1155" t="s">
        <v>1214</v>
      </c>
      <c r="D1155" t="s">
        <v>1228</v>
      </c>
      <c r="E1155" t="s">
        <v>1819</v>
      </c>
      <c r="F1155" t="s">
        <v>1903</v>
      </c>
      <c r="G1155" t="s">
        <v>1909</v>
      </c>
      <c r="H1155" t="s">
        <v>1913</v>
      </c>
      <c r="I1155" s="4">
        <v>118</v>
      </c>
      <c r="J1155" s="3">
        <v>114</v>
      </c>
      <c r="K1155" s="3">
        <f>Table1[[#This Row],[Quantity Sold]]*Table1[[#This Row],[Unit Price (INR)]]</f>
        <v>13452</v>
      </c>
      <c r="L1155" t="s">
        <v>1922</v>
      </c>
    </row>
    <row r="1156" spans="1:12" x14ac:dyDescent="0.35">
      <c r="A1156" t="s">
        <v>1165</v>
      </c>
      <c r="B1156" s="5">
        <v>46662</v>
      </c>
      <c r="C1156" t="s">
        <v>1214</v>
      </c>
      <c r="D1156" t="s">
        <v>1222</v>
      </c>
      <c r="E1156" t="s">
        <v>1884</v>
      </c>
      <c r="F1156" t="s">
        <v>1897</v>
      </c>
      <c r="G1156" t="s">
        <v>1910</v>
      </c>
      <c r="H1156" t="s">
        <v>1918</v>
      </c>
      <c r="I1156" s="4">
        <v>322</v>
      </c>
      <c r="J1156" s="3">
        <v>437</v>
      </c>
      <c r="K1156" s="3">
        <f>Table1[[#This Row],[Quantity Sold]]*Table1[[#This Row],[Unit Price (INR)]]</f>
        <v>140714</v>
      </c>
      <c r="L1156" t="s">
        <v>1920</v>
      </c>
    </row>
    <row r="1157" spans="1:12" x14ac:dyDescent="0.35">
      <c r="A1157" t="s">
        <v>1166</v>
      </c>
      <c r="B1157" s="5">
        <v>46663</v>
      </c>
      <c r="C1157" t="s">
        <v>1213</v>
      </c>
      <c r="D1157" t="s">
        <v>1223</v>
      </c>
      <c r="E1157" t="s">
        <v>1421</v>
      </c>
      <c r="F1157" t="s">
        <v>1898</v>
      </c>
      <c r="G1157" t="s">
        <v>1907</v>
      </c>
      <c r="H1157" t="s">
        <v>1912</v>
      </c>
      <c r="I1157" s="4">
        <v>296</v>
      </c>
      <c r="J1157" s="3">
        <v>60</v>
      </c>
      <c r="K1157" s="3">
        <f>Table1[[#This Row],[Quantity Sold]]*Table1[[#This Row],[Unit Price (INR)]]</f>
        <v>17760</v>
      </c>
      <c r="L1157" t="s">
        <v>1923</v>
      </c>
    </row>
    <row r="1158" spans="1:12" x14ac:dyDescent="0.35">
      <c r="A1158" t="s">
        <v>1167</v>
      </c>
      <c r="B1158" s="5">
        <v>46664</v>
      </c>
      <c r="C1158" t="s">
        <v>1216</v>
      </c>
      <c r="D1158" t="s">
        <v>1230</v>
      </c>
      <c r="E1158" t="s">
        <v>1885</v>
      </c>
      <c r="F1158" t="s">
        <v>1900</v>
      </c>
      <c r="G1158" t="s">
        <v>1907</v>
      </c>
      <c r="H1158" t="s">
        <v>1913</v>
      </c>
      <c r="I1158" s="4">
        <v>30</v>
      </c>
      <c r="J1158" s="3">
        <v>157</v>
      </c>
      <c r="K1158" s="3">
        <f>Table1[[#This Row],[Quantity Sold]]*Table1[[#This Row],[Unit Price (INR)]]</f>
        <v>4710</v>
      </c>
      <c r="L1158" t="s">
        <v>1921</v>
      </c>
    </row>
    <row r="1159" spans="1:12" x14ac:dyDescent="0.35">
      <c r="A1159" t="s">
        <v>1168</v>
      </c>
      <c r="B1159" s="5">
        <v>46665</v>
      </c>
      <c r="C1159" t="s">
        <v>1213</v>
      </c>
      <c r="D1159" t="s">
        <v>1223</v>
      </c>
      <c r="E1159" t="s">
        <v>1575</v>
      </c>
      <c r="F1159" t="s">
        <v>1905</v>
      </c>
      <c r="G1159" t="s">
        <v>1909</v>
      </c>
      <c r="H1159" t="s">
        <v>1917</v>
      </c>
      <c r="I1159" s="4">
        <v>99</v>
      </c>
      <c r="J1159" s="3">
        <v>75</v>
      </c>
      <c r="K1159" s="3">
        <f>Table1[[#This Row],[Quantity Sold]]*Table1[[#This Row],[Unit Price (INR)]]</f>
        <v>7425</v>
      </c>
      <c r="L1159" t="s">
        <v>1921</v>
      </c>
    </row>
    <row r="1160" spans="1:12" x14ac:dyDescent="0.35">
      <c r="A1160" t="s">
        <v>1169</v>
      </c>
      <c r="B1160" s="5">
        <v>46666</v>
      </c>
      <c r="C1160" t="s">
        <v>1217</v>
      </c>
      <c r="D1160" t="s">
        <v>1245</v>
      </c>
      <c r="E1160" t="s">
        <v>1654</v>
      </c>
      <c r="F1160" t="s">
        <v>1900</v>
      </c>
      <c r="G1160" t="s">
        <v>1910</v>
      </c>
      <c r="H1160" t="s">
        <v>1912</v>
      </c>
      <c r="I1160" s="4">
        <v>305</v>
      </c>
      <c r="J1160" s="3">
        <v>494</v>
      </c>
      <c r="K1160" s="3">
        <f>Table1[[#This Row],[Quantity Sold]]*Table1[[#This Row],[Unit Price (INR)]]</f>
        <v>150670</v>
      </c>
      <c r="L1160" t="s">
        <v>1921</v>
      </c>
    </row>
    <row r="1161" spans="1:12" x14ac:dyDescent="0.35">
      <c r="A1161" t="s">
        <v>1170</v>
      </c>
      <c r="B1161" s="5">
        <v>46667</v>
      </c>
      <c r="C1161" t="s">
        <v>1217</v>
      </c>
      <c r="D1161" t="s">
        <v>1237</v>
      </c>
      <c r="E1161" t="s">
        <v>1886</v>
      </c>
      <c r="F1161" t="s">
        <v>1897</v>
      </c>
      <c r="G1161" t="s">
        <v>1908</v>
      </c>
      <c r="H1161" t="s">
        <v>1915</v>
      </c>
      <c r="I1161" s="4">
        <v>121</v>
      </c>
      <c r="J1161" s="3">
        <v>470</v>
      </c>
      <c r="K1161" s="3">
        <f>Table1[[#This Row],[Quantity Sold]]*Table1[[#This Row],[Unit Price (INR)]]</f>
        <v>56870</v>
      </c>
      <c r="L1161" t="s">
        <v>1920</v>
      </c>
    </row>
    <row r="1162" spans="1:12" x14ac:dyDescent="0.35">
      <c r="A1162" t="s">
        <v>1171</v>
      </c>
      <c r="B1162" s="5">
        <v>46668</v>
      </c>
      <c r="C1162" t="s">
        <v>1213</v>
      </c>
      <c r="D1162" t="s">
        <v>1244</v>
      </c>
      <c r="E1162" t="s">
        <v>1834</v>
      </c>
      <c r="F1162" t="s">
        <v>1903</v>
      </c>
      <c r="G1162" t="s">
        <v>1909</v>
      </c>
      <c r="H1162" t="s">
        <v>1915</v>
      </c>
      <c r="I1162" s="4">
        <v>310</v>
      </c>
      <c r="J1162" s="3">
        <v>200</v>
      </c>
      <c r="K1162" s="3">
        <f>Table1[[#This Row],[Quantity Sold]]*Table1[[#This Row],[Unit Price (INR)]]</f>
        <v>62000</v>
      </c>
      <c r="L1162" t="s">
        <v>1921</v>
      </c>
    </row>
    <row r="1163" spans="1:12" x14ac:dyDescent="0.35">
      <c r="A1163" t="s">
        <v>1172</v>
      </c>
      <c r="B1163" s="5">
        <v>46669</v>
      </c>
      <c r="C1163" t="s">
        <v>1216</v>
      </c>
      <c r="D1163" t="s">
        <v>1241</v>
      </c>
      <c r="E1163" t="s">
        <v>1887</v>
      </c>
      <c r="F1163" t="s">
        <v>1904</v>
      </c>
      <c r="G1163" t="s">
        <v>1910</v>
      </c>
      <c r="H1163" t="s">
        <v>1913</v>
      </c>
      <c r="I1163" s="4">
        <v>86</v>
      </c>
      <c r="J1163" s="3">
        <v>270</v>
      </c>
      <c r="K1163" s="3">
        <f>Table1[[#This Row],[Quantity Sold]]*Table1[[#This Row],[Unit Price (INR)]]</f>
        <v>23220</v>
      </c>
      <c r="L1163" t="s">
        <v>1921</v>
      </c>
    </row>
    <row r="1164" spans="1:12" x14ac:dyDescent="0.35">
      <c r="A1164" t="s">
        <v>1173</v>
      </c>
      <c r="B1164" s="5">
        <v>46670</v>
      </c>
      <c r="C1164" t="s">
        <v>1213</v>
      </c>
      <c r="D1164" t="s">
        <v>1220</v>
      </c>
      <c r="E1164" t="s">
        <v>1516</v>
      </c>
      <c r="F1164" t="s">
        <v>1905</v>
      </c>
      <c r="G1164" t="s">
        <v>1907</v>
      </c>
      <c r="H1164" t="s">
        <v>1914</v>
      </c>
      <c r="I1164" s="4">
        <v>186</v>
      </c>
      <c r="J1164" s="3">
        <v>390</v>
      </c>
      <c r="K1164" s="3">
        <f>Table1[[#This Row],[Quantity Sold]]*Table1[[#This Row],[Unit Price (INR)]]</f>
        <v>72540</v>
      </c>
      <c r="L1164" t="s">
        <v>1921</v>
      </c>
    </row>
    <row r="1165" spans="1:12" x14ac:dyDescent="0.35">
      <c r="A1165" t="s">
        <v>1174</v>
      </c>
      <c r="B1165" s="5">
        <v>46671</v>
      </c>
      <c r="C1165" t="s">
        <v>1216</v>
      </c>
      <c r="D1165" t="s">
        <v>1239</v>
      </c>
      <c r="E1165" t="s">
        <v>1646</v>
      </c>
      <c r="F1165" t="s">
        <v>1905</v>
      </c>
      <c r="G1165" t="s">
        <v>1910</v>
      </c>
      <c r="H1165" t="s">
        <v>1912</v>
      </c>
      <c r="I1165" s="4">
        <v>352</v>
      </c>
      <c r="J1165" s="3">
        <v>286</v>
      </c>
      <c r="K1165" s="3">
        <f>Table1[[#This Row],[Quantity Sold]]*Table1[[#This Row],[Unit Price (INR)]]</f>
        <v>100672</v>
      </c>
      <c r="L1165" t="s">
        <v>1922</v>
      </c>
    </row>
    <row r="1166" spans="1:12" x14ac:dyDescent="0.35">
      <c r="A1166" t="s">
        <v>1175</v>
      </c>
      <c r="B1166" s="5">
        <v>46672</v>
      </c>
      <c r="C1166" t="s">
        <v>1216</v>
      </c>
      <c r="D1166" t="s">
        <v>1239</v>
      </c>
      <c r="E1166" t="s">
        <v>1357</v>
      </c>
      <c r="F1166" t="s">
        <v>1898</v>
      </c>
      <c r="G1166" t="s">
        <v>1910</v>
      </c>
      <c r="H1166" t="s">
        <v>1919</v>
      </c>
      <c r="I1166" s="4">
        <v>157</v>
      </c>
      <c r="J1166" s="3">
        <v>286</v>
      </c>
      <c r="K1166" s="3">
        <f>Table1[[#This Row],[Quantity Sold]]*Table1[[#This Row],[Unit Price (INR)]]</f>
        <v>44902</v>
      </c>
      <c r="L1166" t="s">
        <v>1922</v>
      </c>
    </row>
    <row r="1167" spans="1:12" x14ac:dyDescent="0.35">
      <c r="A1167" t="s">
        <v>1176</v>
      </c>
      <c r="B1167" s="5">
        <v>46673</v>
      </c>
      <c r="C1167" t="s">
        <v>1211</v>
      </c>
      <c r="D1167" t="s">
        <v>1224</v>
      </c>
      <c r="E1167" t="s">
        <v>1480</v>
      </c>
      <c r="F1167" t="s">
        <v>1901</v>
      </c>
      <c r="G1167" t="s">
        <v>1910</v>
      </c>
      <c r="H1167" t="s">
        <v>1912</v>
      </c>
      <c r="I1167" s="4">
        <v>110</v>
      </c>
      <c r="J1167" s="3">
        <v>268</v>
      </c>
      <c r="K1167" s="3">
        <f>Table1[[#This Row],[Quantity Sold]]*Table1[[#This Row],[Unit Price (INR)]]</f>
        <v>29480</v>
      </c>
      <c r="L1167" t="s">
        <v>1920</v>
      </c>
    </row>
    <row r="1168" spans="1:12" x14ac:dyDescent="0.35">
      <c r="A1168" t="s">
        <v>1177</v>
      </c>
      <c r="B1168" s="5">
        <v>46674</v>
      </c>
      <c r="C1168" t="s">
        <v>1212</v>
      </c>
      <c r="D1168" t="s">
        <v>1240</v>
      </c>
      <c r="E1168" t="s">
        <v>1327</v>
      </c>
      <c r="F1168" t="s">
        <v>1902</v>
      </c>
      <c r="G1168" t="s">
        <v>1908</v>
      </c>
      <c r="H1168" t="s">
        <v>1914</v>
      </c>
      <c r="I1168" s="4">
        <v>255</v>
      </c>
      <c r="J1168" s="3">
        <v>473</v>
      </c>
      <c r="K1168" s="3">
        <f>Table1[[#This Row],[Quantity Sold]]*Table1[[#This Row],[Unit Price (INR)]]</f>
        <v>120615</v>
      </c>
      <c r="L1168" t="s">
        <v>1921</v>
      </c>
    </row>
    <row r="1169" spans="1:12" x14ac:dyDescent="0.35">
      <c r="A1169" t="s">
        <v>1178</v>
      </c>
      <c r="B1169" s="5">
        <v>46675</v>
      </c>
      <c r="C1169" t="s">
        <v>1216</v>
      </c>
      <c r="D1169" t="s">
        <v>1239</v>
      </c>
      <c r="E1169" t="s">
        <v>1888</v>
      </c>
      <c r="F1169" t="s">
        <v>1902</v>
      </c>
      <c r="G1169" t="s">
        <v>1910</v>
      </c>
      <c r="H1169" t="s">
        <v>1912</v>
      </c>
      <c r="I1169" s="4">
        <v>126</v>
      </c>
      <c r="J1169" s="3">
        <v>200</v>
      </c>
      <c r="K1169" s="3">
        <f>Table1[[#This Row],[Quantity Sold]]*Table1[[#This Row],[Unit Price (INR)]]</f>
        <v>25200</v>
      </c>
      <c r="L1169" t="s">
        <v>1920</v>
      </c>
    </row>
    <row r="1170" spans="1:12" x14ac:dyDescent="0.35">
      <c r="A1170" t="s">
        <v>1179</v>
      </c>
      <c r="B1170" s="5">
        <v>46676</v>
      </c>
      <c r="C1170" t="s">
        <v>1214</v>
      </c>
      <c r="D1170" t="s">
        <v>1226</v>
      </c>
      <c r="E1170" t="s">
        <v>1514</v>
      </c>
      <c r="F1170" t="s">
        <v>1902</v>
      </c>
      <c r="G1170" t="s">
        <v>1908</v>
      </c>
      <c r="H1170" t="s">
        <v>1913</v>
      </c>
      <c r="I1170" s="4">
        <v>101</v>
      </c>
      <c r="J1170" s="3">
        <v>172</v>
      </c>
      <c r="K1170" s="3">
        <f>Table1[[#This Row],[Quantity Sold]]*Table1[[#This Row],[Unit Price (INR)]]</f>
        <v>17372</v>
      </c>
      <c r="L1170" t="s">
        <v>1921</v>
      </c>
    </row>
    <row r="1171" spans="1:12" x14ac:dyDescent="0.35">
      <c r="A1171" t="s">
        <v>1180</v>
      </c>
      <c r="B1171" s="5">
        <v>46677</v>
      </c>
      <c r="C1171" t="s">
        <v>1216</v>
      </c>
      <c r="D1171" t="s">
        <v>1230</v>
      </c>
      <c r="E1171" t="s">
        <v>1889</v>
      </c>
      <c r="F1171" t="s">
        <v>1901</v>
      </c>
      <c r="G1171" t="s">
        <v>1907</v>
      </c>
      <c r="H1171" t="s">
        <v>1914</v>
      </c>
      <c r="I1171" s="4">
        <v>410</v>
      </c>
      <c r="J1171" s="3">
        <v>193</v>
      </c>
      <c r="K1171" s="3">
        <f>Table1[[#This Row],[Quantity Sold]]*Table1[[#This Row],[Unit Price (INR)]]</f>
        <v>79130</v>
      </c>
      <c r="L1171" t="s">
        <v>1921</v>
      </c>
    </row>
    <row r="1172" spans="1:12" x14ac:dyDescent="0.35">
      <c r="A1172" t="s">
        <v>1181</v>
      </c>
      <c r="B1172" s="5">
        <v>46678</v>
      </c>
      <c r="C1172" t="s">
        <v>1216</v>
      </c>
      <c r="D1172" t="s">
        <v>1241</v>
      </c>
      <c r="E1172" t="s">
        <v>1297</v>
      </c>
      <c r="F1172" t="s">
        <v>1898</v>
      </c>
      <c r="G1172" t="s">
        <v>1908</v>
      </c>
      <c r="H1172" t="s">
        <v>1917</v>
      </c>
      <c r="I1172" s="4">
        <v>37</v>
      </c>
      <c r="J1172" s="3">
        <v>238</v>
      </c>
      <c r="K1172" s="3">
        <f>Table1[[#This Row],[Quantity Sold]]*Table1[[#This Row],[Unit Price (INR)]]</f>
        <v>8806</v>
      </c>
      <c r="L1172" t="s">
        <v>1921</v>
      </c>
    </row>
    <row r="1173" spans="1:12" x14ac:dyDescent="0.35">
      <c r="A1173" t="s">
        <v>1182</v>
      </c>
      <c r="B1173" s="5">
        <v>46679</v>
      </c>
      <c r="C1173" t="s">
        <v>1216</v>
      </c>
      <c r="D1173" t="s">
        <v>1230</v>
      </c>
      <c r="E1173" t="s">
        <v>1648</v>
      </c>
      <c r="F1173" t="s">
        <v>1901</v>
      </c>
      <c r="G1173" t="s">
        <v>1907</v>
      </c>
      <c r="H1173" t="s">
        <v>1918</v>
      </c>
      <c r="I1173" s="4">
        <v>434</v>
      </c>
      <c r="J1173" s="3">
        <v>304</v>
      </c>
      <c r="K1173" s="3">
        <f>Table1[[#This Row],[Quantity Sold]]*Table1[[#This Row],[Unit Price (INR)]]</f>
        <v>131936</v>
      </c>
      <c r="L1173" t="s">
        <v>1920</v>
      </c>
    </row>
    <row r="1174" spans="1:12" x14ac:dyDescent="0.35">
      <c r="A1174" t="s">
        <v>1183</v>
      </c>
      <c r="B1174" s="5">
        <v>46680</v>
      </c>
      <c r="C1174" t="s">
        <v>1211</v>
      </c>
      <c r="D1174" t="s">
        <v>1221</v>
      </c>
      <c r="E1174" t="s">
        <v>1890</v>
      </c>
      <c r="F1174" t="s">
        <v>1902</v>
      </c>
      <c r="G1174" t="s">
        <v>1907</v>
      </c>
      <c r="H1174" t="s">
        <v>1914</v>
      </c>
      <c r="I1174" s="4">
        <v>459</v>
      </c>
      <c r="J1174" s="3">
        <v>117</v>
      </c>
      <c r="K1174" s="3">
        <f>Table1[[#This Row],[Quantity Sold]]*Table1[[#This Row],[Unit Price (INR)]]</f>
        <v>53703</v>
      </c>
      <c r="L1174" t="s">
        <v>1920</v>
      </c>
    </row>
    <row r="1175" spans="1:12" x14ac:dyDescent="0.35">
      <c r="A1175" t="s">
        <v>1184</v>
      </c>
      <c r="B1175" s="5">
        <v>46681</v>
      </c>
      <c r="C1175" t="s">
        <v>1211</v>
      </c>
      <c r="D1175" t="s">
        <v>1224</v>
      </c>
      <c r="E1175" t="s">
        <v>1822</v>
      </c>
      <c r="F1175" t="s">
        <v>1897</v>
      </c>
      <c r="G1175" t="s">
        <v>1908</v>
      </c>
      <c r="H1175" t="s">
        <v>1912</v>
      </c>
      <c r="I1175" s="4">
        <v>34</v>
      </c>
      <c r="J1175" s="3">
        <v>153</v>
      </c>
      <c r="K1175" s="3">
        <f>Table1[[#This Row],[Quantity Sold]]*Table1[[#This Row],[Unit Price (INR)]]</f>
        <v>5202</v>
      </c>
      <c r="L1175" t="s">
        <v>1921</v>
      </c>
    </row>
    <row r="1176" spans="1:12" x14ac:dyDescent="0.35">
      <c r="A1176" t="s">
        <v>1185</v>
      </c>
      <c r="B1176" s="5">
        <v>46682</v>
      </c>
      <c r="C1176" t="s">
        <v>1217</v>
      </c>
      <c r="D1176" t="s">
        <v>1245</v>
      </c>
      <c r="E1176" t="s">
        <v>1591</v>
      </c>
      <c r="F1176" t="s">
        <v>1899</v>
      </c>
      <c r="G1176" t="s">
        <v>1909</v>
      </c>
      <c r="H1176" t="s">
        <v>1917</v>
      </c>
      <c r="I1176" s="4">
        <v>67</v>
      </c>
      <c r="J1176" s="3">
        <v>385</v>
      </c>
      <c r="K1176" s="3">
        <f>Table1[[#This Row],[Quantity Sold]]*Table1[[#This Row],[Unit Price (INR)]]</f>
        <v>25795</v>
      </c>
      <c r="L1176" t="s">
        <v>1923</v>
      </c>
    </row>
    <row r="1177" spans="1:12" x14ac:dyDescent="0.35">
      <c r="A1177" t="s">
        <v>1186</v>
      </c>
      <c r="B1177" s="5">
        <v>46683</v>
      </c>
      <c r="C1177" t="s">
        <v>1211</v>
      </c>
      <c r="D1177" t="s">
        <v>1224</v>
      </c>
      <c r="E1177" t="s">
        <v>1801</v>
      </c>
      <c r="F1177" t="s">
        <v>1903</v>
      </c>
      <c r="G1177" t="s">
        <v>1911</v>
      </c>
      <c r="H1177" t="s">
        <v>1918</v>
      </c>
      <c r="I1177" s="4">
        <v>306</v>
      </c>
      <c r="J1177" s="3">
        <v>208</v>
      </c>
      <c r="K1177" s="3">
        <f>Table1[[#This Row],[Quantity Sold]]*Table1[[#This Row],[Unit Price (INR)]]</f>
        <v>63648</v>
      </c>
      <c r="L1177" t="s">
        <v>1920</v>
      </c>
    </row>
    <row r="1178" spans="1:12" x14ac:dyDescent="0.35">
      <c r="A1178" t="s">
        <v>1187</v>
      </c>
      <c r="B1178" s="5">
        <v>46684</v>
      </c>
      <c r="C1178" t="s">
        <v>1214</v>
      </c>
      <c r="D1178" t="s">
        <v>1226</v>
      </c>
      <c r="E1178" t="s">
        <v>1504</v>
      </c>
      <c r="F1178" t="s">
        <v>1901</v>
      </c>
      <c r="G1178" t="s">
        <v>1910</v>
      </c>
      <c r="H1178" t="s">
        <v>1915</v>
      </c>
      <c r="I1178" s="4">
        <v>143</v>
      </c>
      <c r="J1178" s="3">
        <v>358</v>
      </c>
      <c r="K1178" s="3">
        <f>Table1[[#This Row],[Quantity Sold]]*Table1[[#This Row],[Unit Price (INR)]]</f>
        <v>51194</v>
      </c>
      <c r="L1178" t="s">
        <v>1922</v>
      </c>
    </row>
    <row r="1179" spans="1:12" x14ac:dyDescent="0.35">
      <c r="A1179" t="s">
        <v>1188</v>
      </c>
      <c r="B1179" s="5">
        <v>46685</v>
      </c>
      <c r="C1179" t="s">
        <v>1214</v>
      </c>
      <c r="D1179" t="s">
        <v>1227</v>
      </c>
      <c r="E1179" t="s">
        <v>1284</v>
      </c>
      <c r="F1179" t="s">
        <v>1898</v>
      </c>
      <c r="G1179" t="s">
        <v>1911</v>
      </c>
      <c r="H1179" t="s">
        <v>1919</v>
      </c>
      <c r="I1179" s="4">
        <v>340</v>
      </c>
      <c r="J1179" s="3">
        <v>411</v>
      </c>
      <c r="K1179" s="3">
        <f>Table1[[#This Row],[Quantity Sold]]*Table1[[#This Row],[Unit Price (INR)]]</f>
        <v>139740</v>
      </c>
      <c r="L1179" t="s">
        <v>1920</v>
      </c>
    </row>
    <row r="1180" spans="1:12" x14ac:dyDescent="0.35">
      <c r="A1180" t="s">
        <v>1189</v>
      </c>
      <c r="B1180" s="5">
        <v>46686</v>
      </c>
      <c r="C1180" t="s">
        <v>1211</v>
      </c>
      <c r="D1180" t="s">
        <v>1221</v>
      </c>
      <c r="E1180" t="s">
        <v>1257</v>
      </c>
      <c r="F1180" t="s">
        <v>1898</v>
      </c>
      <c r="G1180" t="s">
        <v>1910</v>
      </c>
      <c r="H1180" t="s">
        <v>1913</v>
      </c>
      <c r="I1180" s="4">
        <v>258</v>
      </c>
      <c r="J1180" s="3">
        <v>458</v>
      </c>
      <c r="K1180" s="3">
        <f>Table1[[#This Row],[Quantity Sold]]*Table1[[#This Row],[Unit Price (INR)]]</f>
        <v>118164</v>
      </c>
      <c r="L1180" t="s">
        <v>1921</v>
      </c>
    </row>
    <row r="1181" spans="1:12" x14ac:dyDescent="0.35">
      <c r="A1181" t="s">
        <v>1190</v>
      </c>
      <c r="B1181" s="5">
        <v>46687</v>
      </c>
      <c r="C1181" t="s">
        <v>1213</v>
      </c>
      <c r="D1181" t="s">
        <v>1220</v>
      </c>
      <c r="E1181" t="s">
        <v>1891</v>
      </c>
      <c r="F1181" t="s">
        <v>1900</v>
      </c>
      <c r="G1181" t="s">
        <v>1910</v>
      </c>
      <c r="H1181" t="s">
        <v>1912</v>
      </c>
      <c r="I1181" s="4">
        <v>47</v>
      </c>
      <c r="J1181" s="3">
        <v>349</v>
      </c>
      <c r="K1181" s="3">
        <f>Table1[[#This Row],[Quantity Sold]]*Table1[[#This Row],[Unit Price (INR)]]</f>
        <v>16403</v>
      </c>
      <c r="L1181" t="s">
        <v>1923</v>
      </c>
    </row>
    <row r="1182" spans="1:12" x14ac:dyDescent="0.35">
      <c r="A1182" t="s">
        <v>1191</v>
      </c>
      <c r="B1182" s="5">
        <v>46688</v>
      </c>
      <c r="C1182" t="s">
        <v>1212</v>
      </c>
      <c r="D1182" t="s">
        <v>1233</v>
      </c>
      <c r="E1182" t="s">
        <v>1842</v>
      </c>
      <c r="F1182" t="s">
        <v>1899</v>
      </c>
      <c r="G1182" t="s">
        <v>1907</v>
      </c>
      <c r="H1182" t="s">
        <v>1912</v>
      </c>
      <c r="I1182" s="4">
        <v>399</v>
      </c>
      <c r="J1182" s="3">
        <v>445</v>
      </c>
      <c r="K1182" s="3">
        <f>Table1[[#This Row],[Quantity Sold]]*Table1[[#This Row],[Unit Price (INR)]]</f>
        <v>177555</v>
      </c>
      <c r="L1182" t="s">
        <v>1921</v>
      </c>
    </row>
    <row r="1183" spans="1:12" x14ac:dyDescent="0.35">
      <c r="A1183" t="s">
        <v>1192</v>
      </c>
      <c r="B1183" s="5">
        <v>46689</v>
      </c>
      <c r="C1183" t="s">
        <v>1211</v>
      </c>
      <c r="D1183" t="s">
        <v>1224</v>
      </c>
      <c r="E1183" t="s">
        <v>1892</v>
      </c>
      <c r="F1183" t="s">
        <v>1904</v>
      </c>
      <c r="G1183" t="s">
        <v>1910</v>
      </c>
      <c r="H1183" t="s">
        <v>1915</v>
      </c>
      <c r="I1183" s="4">
        <v>438</v>
      </c>
      <c r="J1183" s="3">
        <v>139</v>
      </c>
      <c r="K1183" s="3">
        <f>Table1[[#This Row],[Quantity Sold]]*Table1[[#This Row],[Unit Price (INR)]]</f>
        <v>60882</v>
      </c>
      <c r="L1183" t="s">
        <v>1922</v>
      </c>
    </row>
    <row r="1184" spans="1:12" x14ac:dyDescent="0.35">
      <c r="A1184" t="s">
        <v>1193</v>
      </c>
      <c r="B1184" s="5">
        <v>46690</v>
      </c>
      <c r="C1184" t="s">
        <v>1216</v>
      </c>
      <c r="D1184" t="s">
        <v>1232</v>
      </c>
      <c r="E1184" t="s">
        <v>1576</v>
      </c>
      <c r="F1184" t="s">
        <v>1905</v>
      </c>
      <c r="G1184" t="s">
        <v>1910</v>
      </c>
      <c r="H1184" t="s">
        <v>1919</v>
      </c>
      <c r="I1184" s="4">
        <v>84</v>
      </c>
      <c r="J1184" s="3">
        <v>406</v>
      </c>
      <c r="K1184" s="3">
        <f>Table1[[#This Row],[Quantity Sold]]*Table1[[#This Row],[Unit Price (INR)]]</f>
        <v>34104</v>
      </c>
      <c r="L1184" t="s">
        <v>1920</v>
      </c>
    </row>
    <row r="1185" spans="1:12" x14ac:dyDescent="0.35">
      <c r="A1185" t="s">
        <v>1194</v>
      </c>
      <c r="B1185" s="5">
        <v>46691</v>
      </c>
      <c r="C1185" t="s">
        <v>1215</v>
      </c>
      <c r="D1185" t="s">
        <v>1225</v>
      </c>
      <c r="E1185" t="s">
        <v>1341</v>
      </c>
      <c r="F1185" t="s">
        <v>1902</v>
      </c>
      <c r="G1185" t="s">
        <v>1908</v>
      </c>
      <c r="H1185" t="s">
        <v>1915</v>
      </c>
      <c r="I1185" s="4">
        <v>151</v>
      </c>
      <c r="J1185" s="3">
        <v>305</v>
      </c>
      <c r="K1185" s="3">
        <f>Table1[[#This Row],[Quantity Sold]]*Table1[[#This Row],[Unit Price (INR)]]</f>
        <v>46055</v>
      </c>
      <c r="L1185" t="s">
        <v>1920</v>
      </c>
    </row>
    <row r="1186" spans="1:12" x14ac:dyDescent="0.35">
      <c r="A1186" t="s">
        <v>1195</v>
      </c>
      <c r="B1186" s="5">
        <v>46692</v>
      </c>
      <c r="C1186" t="s">
        <v>1212</v>
      </c>
      <c r="D1186" t="s">
        <v>1219</v>
      </c>
      <c r="E1186" t="s">
        <v>1327</v>
      </c>
      <c r="F1186" t="s">
        <v>1904</v>
      </c>
      <c r="G1186" t="s">
        <v>1911</v>
      </c>
      <c r="H1186" t="s">
        <v>1916</v>
      </c>
      <c r="I1186" s="4">
        <v>331</v>
      </c>
      <c r="J1186" s="3">
        <v>402</v>
      </c>
      <c r="K1186" s="3">
        <f>Table1[[#This Row],[Quantity Sold]]*Table1[[#This Row],[Unit Price (INR)]]</f>
        <v>133062</v>
      </c>
      <c r="L1186" t="s">
        <v>1921</v>
      </c>
    </row>
    <row r="1187" spans="1:12" x14ac:dyDescent="0.35">
      <c r="A1187" t="s">
        <v>1196</v>
      </c>
      <c r="B1187" s="5">
        <v>46693</v>
      </c>
      <c r="C1187" t="s">
        <v>1212</v>
      </c>
      <c r="D1187" t="s">
        <v>1233</v>
      </c>
      <c r="E1187" t="s">
        <v>1844</v>
      </c>
      <c r="F1187" t="s">
        <v>1900</v>
      </c>
      <c r="G1187" t="s">
        <v>1908</v>
      </c>
      <c r="H1187" t="s">
        <v>1915</v>
      </c>
      <c r="I1187" s="4">
        <v>177</v>
      </c>
      <c r="J1187" s="3">
        <v>269</v>
      </c>
      <c r="K1187" s="3">
        <f>Table1[[#This Row],[Quantity Sold]]*Table1[[#This Row],[Unit Price (INR)]]</f>
        <v>47613</v>
      </c>
      <c r="L1187" t="s">
        <v>1921</v>
      </c>
    </row>
    <row r="1188" spans="1:12" x14ac:dyDescent="0.35">
      <c r="A1188" t="s">
        <v>1197</v>
      </c>
      <c r="B1188" s="5">
        <v>46694</v>
      </c>
      <c r="C1188" t="s">
        <v>1214</v>
      </c>
      <c r="D1188" t="s">
        <v>1227</v>
      </c>
      <c r="E1188" t="s">
        <v>1273</v>
      </c>
      <c r="F1188" t="s">
        <v>1902</v>
      </c>
      <c r="G1188" t="s">
        <v>1910</v>
      </c>
      <c r="H1188" t="s">
        <v>1917</v>
      </c>
      <c r="I1188" s="4">
        <v>268</v>
      </c>
      <c r="J1188" s="3">
        <v>58</v>
      </c>
      <c r="K1188" s="3">
        <f>Table1[[#This Row],[Quantity Sold]]*Table1[[#This Row],[Unit Price (INR)]]</f>
        <v>15544</v>
      </c>
      <c r="L1188" t="s">
        <v>1922</v>
      </c>
    </row>
    <row r="1189" spans="1:12" x14ac:dyDescent="0.35">
      <c r="A1189" t="s">
        <v>1198</v>
      </c>
      <c r="B1189" s="5">
        <v>46695</v>
      </c>
      <c r="C1189" t="s">
        <v>1212</v>
      </c>
      <c r="D1189" t="s">
        <v>1229</v>
      </c>
      <c r="E1189" t="s">
        <v>1481</v>
      </c>
      <c r="F1189" t="s">
        <v>1899</v>
      </c>
      <c r="G1189" t="s">
        <v>1907</v>
      </c>
      <c r="H1189" t="s">
        <v>1918</v>
      </c>
      <c r="I1189" s="4">
        <v>382</v>
      </c>
      <c r="J1189" s="3">
        <v>61</v>
      </c>
      <c r="K1189" s="3">
        <f>Table1[[#This Row],[Quantity Sold]]*Table1[[#This Row],[Unit Price (INR)]]</f>
        <v>23302</v>
      </c>
      <c r="L1189" t="s">
        <v>1923</v>
      </c>
    </row>
    <row r="1190" spans="1:12" x14ac:dyDescent="0.35">
      <c r="A1190" t="s">
        <v>1199</v>
      </c>
      <c r="B1190" s="5">
        <v>46696</v>
      </c>
      <c r="C1190" t="s">
        <v>1211</v>
      </c>
      <c r="D1190" t="s">
        <v>1218</v>
      </c>
      <c r="E1190" t="s">
        <v>1893</v>
      </c>
      <c r="F1190" t="s">
        <v>1900</v>
      </c>
      <c r="G1190" t="s">
        <v>1908</v>
      </c>
      <c r="H1190" t="s">
        <v>1912</v>
      </c>
      <c r="I1190" s="4">
        <v>364</v>
      </c>
      <c r="J1190" s="3">
        <v>374</v>
      </c>
      <c r="K1190" s="3">
        <f>Table1[[#This Row],[Quantity Sold]]*Table1[[#This Row],[Unit Price (INR)]]</f>
        <v>136136</v>
      </c>
      <c r="L1190" t="s">
        <v>1922</v>
      </c>
    </row>
    <row r="1191" spans="1:12" x14ac:dyDescent="0.35">
      <c r="A1191" t="s">
        <v>1200</v>
      </c>
      <c r="B1191" s="5">
        <v>46697</v>
      </c>
      <c r="C1191" t="s">
        <v>1216</v>
      </c>
      <c r="D1191" t="s">
        <v>1241</v>
      </c>
      <c r="E1191" t="s">
        <v>1894</v>
      </c>
      <c r="F1191" t="s">
        <v>1902</v>
      </c>
      <c r="G1191" t="s">
        <v>1908</v>
      </c>
      <c r="H1191" t="s">
        <v>1915</v>
      </c>
      <c r="I1191" s="4">
        <v>234</v>
      </c>
      <c r="J1191" s="3">
        <v>487</v>
      </c>
      <c r="K1191" s="3">
        <f>Table1[[#This Row],[Quantity Sold]]*Table1[[#This Row],[Unit Price (INR)]]</f>
        <v>113958</v>
      </c>
      <c r="L1191" t="s">
        <v>1923</v>
      </c>
    </row>
    <row r="1192" spans="1:12" x14ac:dyDescent="0.35">
      <c r="A1192" t="s">
        <v>1201</v>
      </c>
      <c r="B1192" s="5">
        <v>46698</v>
      </c>
      <c r="C1192" t="s">
        <v>1216</v>
      </c>
      <c r="D1192" t="s">
        <v>1239</v>
      </c>
      <c r="E1192" t="s">
        <v>1393</v>
      </c>
      <c r="F1192" t="s">
        <v>1899</v>
      </c>
      <c r="G1192" t="s">
        <v>1909</v>
      </c>
      <c r="H1192" t="s">
        <v>1912</v>
      </c>
      <c r="I1192" s="4">
        <v>161</v>
      </c>
      <c r="J1192" s="3">
        <v>293</v>
      </c>
      <c r="K1192" s="3">
        <f>Table1[[#This Row],[Quantity Sold]]*Table1[[#This Row],[Unit Price (INR)]]</f>
        <v>47173</v>
      </c>
      <c r="L1192" t="s">
        <v>1920</v>
      </c>
    </row>
    <row r="1193" spans="1:12" x14ac:dyDescent="0.35">
      <c r="A1193" t="s">
        <v>1202</v>
      </c>
      <c r="B1193" s="5">
        <v>46699</v>
      </c>
      <c r="C1193" t="s">
        <v>1217</v>
      </c>
      <c r="D1193" t="s">
        <v>1245</v>
      </c>
      <c r="E1193" t="s">
        <v>1589</v>
      </c>
      <c r="F1193" t="s">
        <v>1906</v>
      </c>
      <c r="G1193" t="s">
        <v>1910</v>
      </c>
      <c r="H1193" t="s">
        <v>1914</v>
      </c>
      <c r="I1193" s="4">
        <v>28</v>
      </c>
      <c r="J1193" s="3">
        <v>231</v>
      </c>
      <c r="K1193" s="3">
        <f>Table1[[#This Row],[Quantity Sold]]*Table1[[#This Row],[Unit Price (INR)]]</f>
        <v>6468</v>
      </c>
      <c r="L1193" t="s">
        <v>1923</v>
      </c>
    </row>
    <row r="1194" spans="1:12" x14ac:dyDescent="0.35">
      <c r="A1194" t="s">
        <v>1203</v>
      </c>
      <c r="B1194" s="5">
        <v>46700</v>
      </c>
      <c r="C1194" t="s">
        <v>1216</v>
      </c>
      <c r="D1194" t="s">
        <v>1230</v>
      </c>
      <c r="E1194" t="s">
        <v>1895</v>
      </c>
      <c r="F1194" t="s">
        <v>1904</v>
      </c>
      <c r="G1194" t="s">
        <v>1907</v>
      </c>
      <c r="H1194" t="s">
        <v>1919</v>
      </c>
      <c r="I1194" s="4">
        <v>155</v>
      </c>
      <c r="J1194" s="3">
        <v>333</v>
      </c>
      <c r="K1194" s="3">
        <f>Table1[[#This Row],[Quantity Sold]]*Table1[[#This Row],[Unit Price (INR)]]</f>
        <v>51615</v>
      </c>
      <c r="L1194" t="s">
        <v>1923</v>
      </c>
    </row>
    <row r="1195" spans="1:12" x14ac:dyDescent="0.35">
      <c r="A1195" t="s">
        <v>1204</v>
      </c>
      <c r="B1195" s="5">
        <v>46701</v>
      </c>
      <c r="C1195" t="s">
        <v>1216</v>
      </c>
      <c r="D1195" t="s">
        <v>1241</v>
      </c>
      <c r="E1195" t="s">
        <v>1266</v>
      </c>
      <c r="F1195" t="s">
        <v>1904</v>
      </c>
      <c r="G1195" t="s">
        <v>1908</v>
      </c>
      <c r="H1195" t="s">
        <v>1915</v>
      </c>
      <c r="I1195" s="4">
        <v>457</v>
      </c>
      <c r="J1195" s="3">
        <v>361</v>
      </c>
      <c r="K1195" s="3">
        <f>Table1[[#This Row],[Quantity Sold]]*Table1[[#This Row],[Unit Price (INR)]]</f>
        <v>164977</v>
      </c>
      <c r="L1195" t="s">
        <v>1920</v>
      </c>
    </row>
    <row r="1196" spans="1:12" x14ac:dyDescent="0.35">
      <c r="A1196" t="s">
        <v>1205</v>
      </c>
      <c r="B1196" s="5">
        <v>46702</v>
      </c>
      <c r="C1196" t="s">
        <v>1214</v>
      </c>
      <c r="D1196" t="s">
        <v>1226</v>
      </c>
      <c r="E1196" t="s">
        <v>1896</v>
      </c>
      <c r="F1196" t="s">
        <v>1905</v>
      </c>
      <c r="G1196" t="s">
        <v>1908</v>
      </c>
      <c r="H1196" t="s">
        <v>1918</v>
      </c>
      <c r="I1196" s="4">
        <v>250</v>
      </c>
      <c r="J1196" s="3">
        <v>148</v>
      </c>
      <c r="K1196" s="3">
        <f>Table1[[#This Row],[Quantity Sold]]*Table1[[#This Row],[Unit Price (INR)]]</f>
        <v>37000</v>
      </c>
      <c r="L1196" t="s">
        <v>1920</v>
      </c>
    </row>
    <row r="1197" spans="1:12" x14ac:dyDescent="0.35">
      <c r="A1197" t="s">
        <v>1206</v>
      </c>
      <c r="B1197" s="5">
        <v>46703</v>
      </c>
      <c r="C1197" t="s">
        <v>1216</v>
      </c>
      <c r="D1197" t="s">
        <v>1239</v>
      </c>
      <c r="E1197" t="s">
        <v>1383</v>
      </c>
      <c r="F1197" t="s">
        <v>1899</v>
      </c>
      <c r="G1197" t="s">
        <v>1907</v>
      </c>
      <c r="H1197" t="s">
        <v>1917</v>
      </c>
      <c r="I1197" s="4">
        <v>381</v>
      </c>
      <c r="J1197" s="3">
        <v>246</v>
      </c>
      <c r="K1197" s="3">
        <f>Table1[[#This Row],[Quantity Sold]]*Table1[[#This Row],[Unit Price (INR)]]</f>
        <v>93726</v>
      </c>
      <c r="L1197" t="s">
        <v>1920</v>
      </c>
    </row>
    <row r="1198" spans="1:12" x14ac:dyDescent="0.35">
      <c r="A1198" t="s">
        <v>1207</v>
      </c>
      <c r="B1198" s="5">
        <v>46704</v>
      </c>
      <c r="C1198" t="s">
        <v>1217</v>
      </c>
      <c r="D1198" t="s">
        <v>1235</v>
      </c>
      <c r="E1198" t="s">
        <v>1357</v>
      </c>
      <c r="F1198" t="s">
        <v>1901</v>
      </c>
      <c r="G1198" t="s">
        <v>1910</v>
      </c>
      <c r="H1198" t="s">
        <v>1916</v>
      </c>
      <c r="I1198" s="4">
        <v>390</v>
      </c>
      <c r="J1198" s="3">
        <v>415</v>
      </c>
      <c r="K1198" s="3">
        <f>Table1[[#This Row],[Quantity Sold]]*Table1[[#This Row],[Unit Price (INR)]]</f>
        <v>161850</v>
      </c>
      <c r="L1198" t="s">
        <v>1922</v>
      </c>
    </row>
    <row r="1199" spans="1:12" x14ac:dyDescent="0.35">
      <c r="A1199" t="s">
        <v>1208</v>
      </c>
      <c r="B1199" s="5">
        <v>46705</v>
      </c>
      <c r="C1199" t="s">
        <v>1215</v>
      </c>
      <c r="D1199" t="s">
        <v>1231</v>
      </c>
      <c r="E1199" t="s">
        <v>1812</v>
      </c>
      <c r="F1199" t="s">
        <v>1906</v>
      </c>
      <c r="G1199" t="s">
        <v>1909</v>
      </c>
      <c r="H1199" t="s">
        <v>1912</v>
      </c>
      <c r="I1199" s="4">
        <v>353</v>
      </c>
      <c r="J1199" s="3">
        <v>275</v>
      </c>
      <c r="K1199" s="3">
        <f>Table1[[#This Row],[Quantity Sold]]*Table1[[#This Row],[Unit Price (INR)]]</f>
        <v>97075</v>
      </c>
      <c r="L1199" t="s">
        <v>1920</v>
      </c>
    </row>
    <row r="1200" spans="1:12" x14ac:dyDescent="0.35">
      <c r="A1200" t="s">
        <v>1209</v>
      </c>
      <c r="B1200" s="5">
        <v>46706</v>
      </c>
      <c r="C1200" t="s">
        <v>1211</v>
      </c>
      <c r="D1200" t="s">
        <v>1221</v>
      </c>
      <c r="E1200" t="s">
        <v>1478</v>
      </c>
      <c r="F1200" t="s">
        <v>1897</v>
      </c>
      <c r="G1200" t="s">
        <v>1908</v>
      </c>
      <c r="H1200" t="s">
        <v>1919</v>
      </c>
      <c r="I1200" s="4">
        <v>246</v>
      </c>
      <c r="J1200" s="3">
        <v>382</v>
      </c>
      <c r="K1200" s="3">
        <f>Table1[[#This Row],[Quantity Sold]]*Table1[[#This Row],[Unit Price (INR)]]</f>
        <v>93972</v>
      </c>
      <c r="L1200" t="s">
        <v>1921</v>
      </c>
    </row>
    <row r="1201" spans="1:12" x14ac:dyDescent="0.35">
      <c r="A1201" t="s">
        <v>1210</v>
      </c>
      <c r="B1201" s="5">
        <v>46707</v>
      </c>
      <c r="C1201" t="s">
        <v>1214</v>
      </c>
      <c r="D1201" t="s">
        <v>1228</v>
      </c>
      <c r="E1201" t="s">
        <v>1600</v>
      </c>
      <c r="F1201" t="s">
        <v>1902</v>
      </c>
      <c r="G1201" t="s">
        <v>1909</v>
      </c>
      <c r="H1201" t="s">
        <v>1913</v>
      </c>
      <c r="I1201" s="4">
        <v>44</v>
      </c>
      <c r="J1201" s="3">
        <v>152</v>
      </c>
      <c r="K1201" s="3">
        <f>Table1[[#This Row],[Quantity Sold]]*Table1[[#This Row],[Unit Price (INR)]]</f>
        <v>6688</v>
      </c>
      <c r="L1201" t="s">
        <v>1920</v>
      </c>
    </row>
    <row r="1203" spans="1:12" x14ac:dyDescent="0.35">
      <c r="A1203" s="12">
        <f>COUNTA(A2:A1201)</f>
        <v>1200</v>
      </c>
      <c r="C1203" s="12">
        <f>COUNTA(_xlfn.UNIQUE(C2:C1201))</f>
        <v>7</v>
      </c>
      <c r="I1203" s="12">
        <f>SUM(I2:I1201)</f>
        <v>310951</v>
      </c>
      <c r="K1203" s="2">
        <f>SUM(K2:K1201)</f>
        <v>83152652</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B15AD-237A-4275-AB2A-F06B6C05EF9B}">
  <dimension ref="A1:S57"/>
  <sheetViews>
    <sheetView showGridLines="0" tabSelected="1" zoomScaleNormal="100" workbookViewId="0">
      <selection activeCell="L6" sqref="L6"/>
    </sheetView>
  </sheetViews>
  <sheetFormatPr defaultRowHeight="14.5" x14ac:dyDescent="0.35"/>
  <cols>
    <col min="1" max="2" width="1.26953125" customWidth="1"/>
    <col min="3" max="3" width="2.1796875" customWidth="1"/>
    <col min="4" max="4" width="20.54296875" customWidth="1"/>
    <col min="5" max="5" width="2.81640625" customWidth="1"/>
    <col min="6" max="6" width="21.81640625" customWidth="1"/>
    <col min="7" max="7" width="4.26953125" customWidth="1"/>
    <col min="8" max="8" width="20.7265625" customWidth="1"/>
    <col min="9" max="9" width="3.453125" customWidth="1"/>
    <col min="10" max="10" width="20.54296875" customWidth="1"/>
    <col min="11" max="11" width="23.54296875" bestFit="1" customWidth="1"/>
    <col min="19" max="19" width="8.6328125" customWidth="1"/>
  </cols>
  <sheetData>
    <row r="1" spans="1:19" x14ac:dyDescent="0.35">
      <c r="A1" s="13" t="s">
        <v>1933</v>
      </c>
      <c r="B1" s="13"/>
      <c r="C1" s="13"/>
      <c r="D1" s="13"/>
      <c r="E1" s="13"/>
      <c r="F1" s="13"/>
      <c r="G1" s="13"/>
      <c r="H1" s="13"/>
      <c r="I1" s="13"/>
      <c r="J1" s="13"/>
      <c r="K1" s="13"/>
      <c r="L1" s="4"/>
      <c r="M1" s="4"/>
      <c r="N1" s="4"/>
      <c r="O1" s="4"/>
      <c r="P1" s="4"/>
      <c r="Q1" s="4"/>
      <c r="R1" s="4"/>
      <c r="S1" s="4"/>
    </row>
    <row r="2" spans="1:19" x14ac:dyDescent="0.35">
      <c r="A2" s="13"/>
      <c r="B2" s="13"/>
      <c r="C2" s="13"/>
      <c r="D2" s="13"/>
      <c r="E2" s="13"/>
      <c r="F2" s="13"/>
      <c r="G2" s="13"/>
      <c r="H2" s="13"/>
      <c r="I2" s="13"/>
      <c r="J2" s="13"/>
      <c r="K2" s="13"/>
      <c r="L2" s="4"/>
      <c r="M2" s="4"/>
      <c r="N2" s="4"/>
      <c r="O2" s="4"/>
      <c r="P2" s="4"/>
      <c r="Q2" s="4"/>
      <c r="R2" s="4"/>
      <c r="S2" s="4"/>
    </row>
    <row r="3" spans="1:19" x14ac:dyDescent="0.35">
      <c r="A3" s="13"/>
      <c r="B3" s="13"/>
      <c r="C3" s="13"/>
      <c r="D3" s="13"/>
      <c r="E3" s="13"/>
      <c r="F3" s="13"/>
      <c r="G3" s="13"/>
      <c r="H3" s="13"/>
      <c r="I3" s="13"/>
      <c r="J3" s="13"/>
      <c r="K3" s="13"/>
      <c r="L3" s="4"/>
      <c r="M3" s="4"/>
      <c r="N3" s="4"/>
      <c r="O3" s="4"/>
      <c r="P3" s="4"/>
      <c r="Q3" s="4"/>
      <c r="R3" s="4"/>
      <c r="S3" s="4"/>
    </row>
    <row r="4" spans="1:19" ht="13.5" customHeight="1" x14ac:dyDescent="0.35"/>
    <row r="5" spans="1:19" ht="27.5" customHeight="1" x14ac:dyDescent="0.35"/>
    <row r="6" spans="1:19" ht="37" customHeight="1" x14ac:dyDescent="0.35"/>
    <row r="7" spans="1:19" ht="16" customHeight="1" x14ac:dyDescent="0.35"/>
    <row r="43" spans="10:11" x14ac:dyDescent="0.35">
      <c r="J43" s="9" t="s">
        <v>1925</v>
      </c>
      <c r="K43" s="9" t="s">
        <v>1927</v>
      </c>
    </row>
    <row r="44" spans="10:11" x14ac:dyDescent="0.35">
      <c r="J44" s="10" t="s">
        <v>1898</v>
      </c>
      <c r="K44" s="11">
        <v>8459797</v>
      </c>
    </row>
    <row r="45" spans="10:11" x14ac:dyDescent="0.35">
      <c r="J45" s="10" t="s">
        <v>1903</v>
      </c>
      <c r="K45" s="11">
        <v>8272737</v>
      </c>
    </row>
    <row r="46" spans="10:11" x14ac:dyDescent="0.35">
      <c r="J46" s="10" t="s">
        <v>1904</v>
      </c>
      <c r="K46" s="11">
        <v>9160902</v>
      </c>
    </row>
    <row r="47" spans="10:11" x14ac:dyDescent="0.35">
      <c r="J47" s="10" t="s">
        <v>1906</v>
      </c>
      <c r="K47" s="11">
        <v>7550705</v>
      </c>
    </row>
    <row r="48" spans="10:11" x14ac:dyDescent="0.35">
      <c r="J48" s="10" t="s">
        <v>1900</v>
      </c>
      <c r="K48" s="11">
        <v>7863009</v>
      </c>
    </row>
    <row r="49" spans="9:11" x14ac:dyDescent="0.35">
      <c r="J49" s="10" t="s">
        <v>1902</v>
      </c>
      <c r="K49" s="11">
        <v>8148940</v>
      </c>
    </row>
    <row r="50" spans="9:11" x14ac:dyDescent="0.35">
      <c r="J50" s="10" t="s">
        <v>1899</v>
      </c>
      <c r="K50" s="11">
        <v>7813663</v>
      </c>
    </row>
    <row r="51" spans="9:11" x14ac:dyDescent="0.35">
      <c r="J51" s="10" t="s">
        <v>1897</v>
      </c>
      <c r="K51" s="11">
        <v>8707789</v>
      </c>
    </row>
    <row r="52" spans="9:11" x14ac:dyDescent="0.35">
      <c r="J52" s="10" t="s">
        <v>1901</v>
      </c>
      <c r="K52" s="11">
        <v>8530928</v>
      </c>
    </row>
    <row r="53" spans="9:11" x14ac:dyDescent="0.35">
      <c r="J53" s="10" t="s">
        <v>1905</v>
      </c>
      <c r="K53" s="11">
        <v>8644182</v>
      </c>
    </row>
    <row r="56" spans="9:11" x14ac:dyDescent="0.35">
      <c r="I56" s="14" t="s">
        <v>1934</v>
      </c>
      <c r="J56" s="14"/>
      <c r="K56" s="14"/>
    </row>
    <row r="57" spans="9:11" x14ac:dyDescent="0.35">
      <c r="I57" s="14"/>
      <c r="J57" s="14"/>
      <c r="K57" s="14"/>
    </row>
  </sheetData>
  <mergeCells count="2">
    <mergeCell ref="A1:K3"/>
    <mergeCell ref="I56:K57"/>
  </mergeCells>
  <conditionalFormatting pivot="1" sqref="K44:K53">
    <cfRule type="dataBar" priority="1">
      <dataBar>
        <cfvo type="min"/>
        <cfvo type="max"/>
        <color theme="5" tint="-0.249977111117893"/>
      </dataBar>
      <extLst>
        <ext xmlns:x14="http://schemas.microsoft.com/office/spreadsheetml/2009/9/main" uri="{B025F937-C7B1-47D3-B67F-A62EFF666E3E}">
          <x14:id>{3F8FC25E-84D7-4C66-929D-BF6C93A71910}</x14:id>
        </ext>
      </extLst>
    </cfRule>
  </conditionalFormatting>
  <pageMargins left="0.7" right="0.7" top="0.75" bottom="0.75" header="0.3" footer="0.3"/>
  <pageSetup orientation="portrait" r:id="rId2"/>
  <drawing r:id="rId3"/>
  <extLst>
    <ext xmlns:x14="http://schemas.microsoft.com/office/spreadsheetml/2009/9/main" uri="{78C0D931-6437-407d-A8EE-F0AAD7539E65}">
      <x14:conditionalFormattings>
        <x14:conditionalFormatting xmlns:xm="http://schemas.microsoft.com/office/excel/2006/main" pivot="1">
          <x14:cfRule type="dataBar" id="{3F8FC25E-84D7-4C66-929D-BF6C93A71910}">
            <x14:dataBar minLength="0" maxLength="100" gradient="0">
              <x14:cfvo type="autoMin"/>
              <x14:cfvo type="autoMax"/>
              <x14:negativeFillColor rgb="FFFF0000"/>
              <x14:axisColor rgb="FF000000"/>
            </x14:dataBar>
          </x14:cfRule>
          <xm:sqref>K44:K53</xm:sqref>
        </x14:conditionalFormatting>
      </x14:conditionalFormattings>
    </ex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A1C48-A71D-4229-9D52-4A6B94ECD6BE}">
  <dimension ref="A3:B32"/>
  <sheetViews>
    <sheetView workbookViewId="0">
      <selection activeCell="L8" sqref="L8"/>
    </sheetView>
  </sheetViews>
  <sheetFormatPr defaultRowHeight="14.5" x14ac:dyDescent="0.35"/>
  <cols>
    <col min="1" max="1" width="14.6328125" bestFit="1" customWidth="1"/>
    <col min="2" max="2" width="23.54296875" bestFit="1" customWidth="1"/>
  </cols>
  <sheetData>
    <row r="3" spans="1:2" x14ac:dyDescent="0.35">
      <c r="A3" s="6" t="s">
        <v>1925</v>
      </c>
      <c r="B3" t="s">
        <v>1927</v>
      </c>
    </row>
    <row r="4" spans="1:2" x14ac:dyDescent="0.35">
      <c r="A4" s="7" t="s">
        <v>1217</v>
      </c>
      <c r="B4" s="8">
        <v>12663860</v>
      </c>
    </row>
    <row r="5" spans="1:2" x14ac:dyDescent="0.35">
      <c r="A5" s="7" t="s">
        <v>1212</v>
      </c>
      <c r="B5" s="8">
        <v>12148286</v>
      </c>
    </row>
    <row r="6" spans="1:2" x14ac:dyDescent="0.35">
      <c r="A6" s="7" t="s">
        <v>1211</v>
      </c>
      <c r="B6" s="8">
        <v>12093417</v>
      </c>
    </row>
    <row r="7" spans="1:2" x14ac:dyDescent="0.35">
      <c r="A7" s="7" t="s">
        <v>1216</v>
      </c>
      <c r="B7" s="8">
        <v>11949790</v>
      </c>
    </row>
    <row r="8" spans="1:2" x14ac:dyDescent="0.35">
      <c r="A8" s="7" t="s">
        <v>1213</v>
      </c>
      <c r="B8" s="8">
        <v>11910251</v>
      </c>
    </row>
    <row r="9" spans="1:2" x14ac:dyDescent="0.35">
      <c r="A9" s="7" t="s">
        <v>1215</v>
      </c>
      <c r="B9" s="8">
        <v>11315911</v>
      </c>
    </row>
    <row r="10" spans="1:2" x14ac:dyDescent="0.35">
      <c r="A10" s="7" t="s">
        <v>1214</v>
      </c>
      <c r="B10" s="8">
        <v>11071137</v>
      </c>
    </row>
    <row r="11" spans="1:2" x14ac:dyDescent="0.35">
      <c r="A11" s="7" t="s">
        <v>1926</v>
      </c>
      <c r="B11" s="8">
        <v>83152652</v>
      </c>
    </row>
    <row r="26" spans="1:2" x14ac:dyDescent="0.35">
      <c r="A26" s="6" t="s">
        <v>1925</v>
      </c>
      <c r="B26" t="s">
        <v>1927</v>
      </c>
    </row>
    <row r="27" spans="1:2" x14ac:dyDescent="0.35">
      <c r="A27" s="7" t="s">
        <v>1910</v>
      </c>
      <c r="B27" s="2">
        <v>18002806</v>
      </c>
    </row>
    <row r="28" spans="1:2" x14ac:dyDescent="0.35">
      <c r="A28" s="7" t="s">
        <v>1908</v>
      </c>
      <c r="B28" s="2">
        <v>17600560</v>
      </c>
    </row>
    <row r="29" spans="1:2" x14ac:dyDescent="0.35">
      <c r="A29" s="7" t="s">
        <v>1907</v>
      </c>
      <c r="B29" s="2">
        <v>16592923</v>
      </c>
    </row>
    <row r="30" spans="1:2" x14ac:dyDescent="0.35">
      <c r="A30" s="7" t="s">
        <v>1909</v>
      </c>
      <c r="B30" s="2">
        <v>15674137</v>
      </c>
    </row>
    <row r="31" spans="1:2" x14ac:dyDescent="0.35">
      <c r="A31" s="7" t="s">
        <v>1911</v>
      </c>
      <c r="B31" s="2">
        <v>15282226</v>
      </c>
    </row>
    <row r="32" spans="1:2" x14ac:dyDescent="0.35">
      <c r="A32" s="7" t="s">
        <v>1926</v>
      </c>
      <c r="B32" s="2">
        <v>83152652</v>
      </c>
    </row>
  </sheetData>
  <pageMargins left="0.7" right="0.7" top="0.75" bottom="0.75" header="0.3" footer="0.3"/>
  <pageSetup orientation="portrait"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485D8-B413-404E-8A93-BA0A8EB3986E}">
  <dimension ref="A3:C31"/>
  <sheetViews>
    <sheetView workbookViewId="0">
      <selection activeCell="L8" sqref="L8"/>
    </sheetView>
  </sheetViews>
  <sheetFormatPr defaultRowHeight="14.5" x14ac:dyDescent="0.35"/>
  <cols>
    <col min="1" max="2" width="12.36328125" bestFit="1" customWidth="1"/>
    <col min="3" max="4" width="23.54296875" bestFit="1" customWidth="1"/>
  </cols>
  <sheetData>
    <row r="3" spans="1:2" x14ac:dyDescent="0.35">
      <c r="A3" s="6" t="s">
        <v>1925</v>
      </c>
      <c r="B3" t="s">
        <v>1928</v>
      </c>
    </row>
    <row r="4" spans="1:2" x14ac:dyDescent="0.35">
      <c r="A4" s="7" t="s">
        <v>1922</v>
      </c>
      <c r="B4">
        <v>283</v>
      </c>
    </row>
    <row r="5" spans="1:2" x14ac:dyDescent="0.35">
      <c r="A5" s="7" t="s">
        <v>1921</v>
      </c>
      <c r="B5">
        <v>305</v>
      </c>
    </row>
    <row r="6" spans="1:2" x14ac:dyDescent="0.35">
      <c r="A6" s="7" t="s">
        <v>1920</v>
      </c>
      <c r="B6">
        <v>308</v>
      </c>
    </row>
    <row r="7" spans="1:2" x14ac:dyDescent="0.35">
      <c r="A7" s="7" t="s">
        <v>1923</v>
      </c>
      <c r="B7">
        <v>304</v>
      </c>
    </row>
    <row r="8" spans="1:2" x14ac:dyDescent="0.35">
      <c r="A8" s="7" t="s">
        <v>1926</v>
      </c>
      <c r="B8">
        <v>1200</v>
      </c>
    </row>
    <row r="26" spans="2:3" x14ac:dyDescent="0.35">
      <c r="B26" s="6" t="s">
        <v>1925</v>
      </c>
      <c r="C26" t="s">
        <v>1927</v>
      </c>
    </row>
    <row r="27" spans="2:3" x14ac:dyDescent="0.35">
      <c r="B27" s="7" t="s">
        <v>1929</v>
      </c>
      <c r="C27" s="2">
        <v>10280231</v>
      </c>
    </row>
    <row r="28" spans="2:3" x14ac:dyDescent="0.35">
      <c r="B28" s="7" t="s">
        <v>1930</v>
      </c>
      <c r="C28" s="2">
        <v>26250918</v>
      </c>
    </row>
    <row r="29" spans="2:3" x14ac:dyDescent="0.35">
      <c r="B29" s="7" t="s">
        <v>1931</v>
      </c>
      <c r="C29" s="2">
        <v>23535231</v>
      </c>
    </row>
    <row r="30" spans="2:3" x14ac:dyDescent="0.35">
      <c r="B30" s="7" t="s">
        <v>1932</v>
      </c>
      <c r="C30" s="2">
        <v>23086272</v>
      </c>
    </row>
    <row r="31" spans="2:3" x14ac:dyDescent="0.35">
      <c r="B31" s="7" t="s">
        <v>1926</v>
      </c>
      <c r="C31" s="2">
        <v>83152652</v>
      </c>
    </row>
  </sheetData>
  <pageMargins left="0.7" right="0.7" top="0.75" bottom="0.75" header="0.3" footer="0.3"/>
  <pageSetup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Dashborad</vt:lpstr>
      <vt:lpstr>Pivot 1&amp;2</vt:lpstr>
      <vt:lpstr>Pivot 3&amp;4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Sandeep Reddy</dc:creator>
  <cp:lastModifiedBy>Amulya</cp:lastModifiedBy>
  <dcterms:created xsi:type="dcterms:W3CDTF">2025-10-28T17:01:42Z</dcterms:created>
  <dcterms:modified xsi:type="dcterms:W3CDTF">2025-11-13T14:22:14Z</dcterms:modified>
</cp:coreProperties>
</file>